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寫說明" sheetId="1" state="visible" r:id="rId1"/>
    <sheet name="武功總表" sheetId="2" state="visible" r:id="rId2"/>
    <sheet name="招式表" sheetId="3" state="visible" r:id="rId3"/>
    <sheet name="欄位說明" sheetId="4" state="visible" r:id="rId4"/>
    <sheet name="建議範圍" sheetId="5" state="visible" r:id="rId5"/>
    <sheet name="選單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</font>
    <font>
      <name val="Arial"/>
      <b val="1"/>
      <color rgb="00FFFFFF"/>
    </font>
    <font>
      <name val="Arial"/>
      <b val="1"/>
    </font>
    <font>
      <name val="Arial"/>
      <i val="1"/>
      <color rgb="007F7F7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ES2</author>
  </authors>
  <commentList>
    <comment ref="I1" authorId="0" shapeId="0">
      <text>
        <t>= 武功總表的「整套傷害加成」+ 這一招的「招式傷害加成」。
最終傷害 = 武器傷害 ×（100% + 這個數字），再扣防具。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0" customWidth="1" min="3" max="3"/>
  </cols>
  <sheetData>
    <row r="1">
      <c r="B1" s="1" t="inlineStr">
        <is>
          <t>武功強度設定表</t>
        </is>
      </c>
    </row>
    <row r="2">
      <c r="B2" s="2" t="inlineStr"/>
    </row>
    <row r="3" ht="32" customHeight="1">
      <c r="B3" s="2" t="inlineStr">
        <is>
          <t>這份表格做什麼</t>
        </is>
      </c>
      <c r="C3" s="3" t="inlineStr">
        <is>
          <t>每套武功、每個招式的「強度數字」都填在這裡。招式的文字敘述另外討論（第一部分），這裡只放數字和設定。</t>
        </is>
      </c>
    </row>
    <row r="4" ht="78" customHeight="1">
      <c r="B4" s="2" t="inlineStr">
        <is>
          <t>怎麼填</t>
        </is>
      </c>
      <c r="C4" s="3" t="inlineStr">
        <is>
          <t>1. 先到「武功總表」新增一列，替武功取英文代號（例如 sanmeendo）。
2. 再到「招式表」，每個招式一列，第一欄選同一個武功代號。
3. 有下拉選單的欄位直接用選的；數字欄填錯範圍會跳警告。
4. 不確定的欄位留白即可，程式會用預設值（見「欄位說明」）。</t>
        </is>
      </c>
    </row>
    <row r="5">
      <c r="B5" s="2" t="inlineStr">
        <is>
          <t>格子顏色</t>
        </is>
      </c>
    </row>
    <row r="6">
      <c r="B6" s="4" t="inlineStr">
        <is>
          <t xml:space="preserve">　　淡黃色</t>
        </is>
      </c>
      <c r="C6" s="3" t="inlineStr">
        <is>
          <t>你要填的格子</t>
        </is>
      </c>
    </row>
    <row r="7">
      <c r="B7" s="5" t="inlineStr">
        <is>
          <t xml:space="preserve">　　淡藍色</t>
        </is>
      </c>
      <c r="C7" s="3" t="inlineStr">
        <is>
          <t>範例（三門刀法），可以參考格式，也可以直接修改或刪掉</t>
        </is>
      </c>
    </row>
    <row r="8">
      <c r="B8" s="6" t="inlineStr">
        <is>
          <t xml:space="preserve">　　淡綠色</t>
        </is>
      </c>
      <c r="C8" s="3" t="inlineStr">
        <is>
          <t>自動計算，不用填</t>
        </is>
      </c>
    </row>
    <row r="9">
      <c r="B9" s="2" t="inlineStr">
        <is>
          <t>百分比怎麼填</t>
        </is>
      </c>
      <c r="C9" s="3" t="inlineStr">
        <is>
          <t>直接填數字：要 +15% 就填 15（不要填 0.15）。</t>
        </is>
      </c>
    </row>
    <row r="10">
      <c r="B10" s="2" t="inlineStr">
        <is>
          <t>數值參考</t>
        </is>
      </c>
      <c r="C10" s="3" t="inlineStr">
        <is>
          <t>「欄位說明」寫每一欄的意思和預設值；「建議範圍」列出入門／中階／高階武功的建議數字。</t>
        </is>
      </c>
    </row>
    <row r="11" ht="75" customHeight="1">
      <c r="B11" s="2" t="inlineStr">
        <is>
          <t>注意</t>
        </is>
      </c>
      <c r="C11" s="3" t="inlineStr">
        <is>
          <t>範例是新版三門刀法（5 招），所有數字都是建議值，尚未定案。
傷害加成、解鎖等級、消耗、冷卻、特效、出招條件都是新機制（NEW），要等引擎做好才會生效。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11" customWidth="1" min="5" max="5"/>
    <col width="13" customWidth="1" min="6" max="6"/>
    <col width="9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40" customWidth="1" min="14" max="14"/>
  </cols>
  <sheetData>
    <row r="1" ht="36" customHeight="1">
      <c r="A1" s="7" t="inlineStr">
        <is>
          <t>武功代號
(英文)</t>
        </is>
      </c>
      <c r="B1" s="7" t="inlineStr">
        <is>
          <t>武功名稱</t>
        </is>
      </c>
      <c r="C1" s="7" t="inlineStr">
        <is>
          <t>enable 在
(基本技能)</t>
        </is>
      </c>
      <c r="D1" s="7" t="inlineStr">
        <is>
          <t>門派</t>
        </is>
      </c>
      <c r="E1" s="7" t="inlineStr">
        <is>
          <t>整套傷害
加成 (%)</t>
        </is>
      </c>
      <c r="F1" s="7" t="inlineStr">
        <is>
          <t>加成方式</t>
        </is>
      </c>
      <c r="G1" s="7" t="inlineStr">
        <is>
          <t>招式數
(自動)</t>
        </is>
      </c>
      <c r="H1" s="7" t="inlineStr">
        <is>
          <t>武術造詣
係數</t>
        </is>
      </c>
      <c r="I1" s="7" t="inlineStr">
        <is>
          <t>武學之道
起始等級</t>
        </is>
      </c>
      <c r="J1" s="7" t="inlineStr">
        <is>
          <t>武學之道
係數</t>
        </is>
      </c>
      <c r="K1" s="7" t="inlineStr">
        <is>
          <t>整套特效</t>
        </is>
      </c>
      <c r="L1" s="7" t="inlineStr">
        <is>
          <t>整套特效
機率 (%)</t>
        </is>
      </c>
      <c r="M1" s="7" t="inlineStr">
        <is>
          <t>整套特效
強度</t>
        </is>
      </c>
      <c r="N1" s="7" t="inlineStr">
        <is>
          <t>備註</t>
        </is>
      </c>
    </row>
    <row r="2">
      <c r="A2" s="8" t="inlineStr">
        <is>
          <t>sanmeendo</t>
        </is>
      </c>
      <c r="B2" s="8" t="inlineStr">
        <is>
          <t>三門刀法</t>
        </is>
      </c>
      <c r="C2" s="8" t="inlineStr">
        <is>
          <t>blade</t>
        </is>
      </c>
      <c r="D2" s="8" t="inlineStr">
        <is>
          <t>虎刀門</t>
        </is>
      </c>
      <c r="E2" s="9" t="n">
        <v>0</v>
      </c>
      <c r="F2" s="8" t="inlineStr">
        <is>
          <t>固定</t>
        </is>
      </c>
      <c r="G2" s="10">
        <f>IF(A2="","",COUNTIF(招式表!$A$2:$A$201,A2))</f>
        <v/>
      </c>
      <c r="H2" s="8" t="n">
        <v>10</v>
      </c>
      <c r="I2" s="8" t="n">
        <v>30</v>
      </c>
      <c r="J2" s="8" t="n">
        <v>10</v>
      </c>
      <c r="K2" s="8" t="inlineStr">
        <is>
          <t>三招重演</t>
        </is>
      </c>
      <c r="L2" s="9" t="n">
        <v>10</v>
      </c>
      <c r="M2" s="8" t="n">
        <v>75</v>
      </c>
      <c r="N2" s="11" t="inlineStr">
        <is>
          <t>三招重演：機率 = 10% + 天生膽識÷4；需三門刀法 100、狻猊步法 60（enable）</t>
        </is>
      </c>
    </row>
    <row r="3">
      <c r="A3" s="12" t="n"/>
      <c r="B3" s="12" t="n"/>
      <c r="C3" s="12" t="n"/>
      <c r="D3" s="12" t="n"/>
      <c r="E3" s="13" t="n"/>
      <c r="F3" s="12" t="n"/>
      <c r="G3" s="10">
        <f>IF(A3="","",COUNTIF(招式表!$A$2:$A$201,A3))</f>
        <v/>
      </c>
      <c r="H3" s="12" t="n"/>
      <c r="I3" s="12" t="n"/>
      <c r="J3" s="12" t="n"/>
      <c r="K3" s="12" t="n"/>
      <c r="L3" s="13" t="n"/>
      <c r="M3" s="12" t="n"/>
      <c r="N3" s="14" t="n"/>
    </row>
    <row r="4">
      <c r="A4" s="12" t="n"/>
      <c r="B4" s="12" t="n"/>
      <c r="C4" s="12" t="n"/>
      <c r="D4" s="12" t="n"/>
      <c r="E4" s="13" t="n"/>
      <c r="F4" s="12" t="n"/>
      <c r="G4" s="10">
        <f>IF(A4="","",COUNTIF(招式表!$A$2:$A$201,A4))</f>
        <v/>
      </c>
      <c r="H4" s="12" t="n"/>
      <c r="I4" s="12" t="n"/>
      <c r="J4" s="12" t="n"/>
      <c r="K4" s="12" t="n"/>
      <c r="L4" s="13" t="n"/>
      <c r="M4" s="12" t="n"/>
      <c r="N4" s="14" t="n"/>
    </row>
    <row r="5">
      <c r="A5" s="12" t="n"/>
      <c r="B5" s="12" t="n"/>
      <c r="C5" s="12" t="n"/>
      <c r="D5" s="12" t="n"/>
      <c r="E5" s="13" t="n"/>
      <c r="F5" s="12" t="n"/>
      <c r="G5" s="10">
        <f>IF(A5="","",COUNTIF(招式表!$A$2:$A$201,A5))</f>
        <v/>
      </c>
      <c r="H5" s="12" t="n"/>
      <c r="I5" s="12" t="n"/>
      <c r="J5" s="12" t="n"/>
      <c r="K5" s="12" t="n"/>
      <c r="L5" s="13" t="n"/>
      <c r="M5" s="12" t="n"/>
      <c r="N5" s="14" t="n"/>
    </row>
    <row r="6">
      <c r="A6" s="12" t="n"/>
      <c r="B6" s="12" t="n"/>
      <c r="C6" s="12" t="n"/>
      <c r="D6" s="12" t="n"/>
      <c r="E6" s="13" t="n"/>
      <c r="F6" s="12" t="n"/>
      <c r="G6" s="10">
        <f>IF(A6="","",COUNTIF(招式表!$A$2:$A$201,A6))</f>
        <v/>
      </c>
      <c r="H6" s="12" t="n"/>
      <c r="I6" s="12" t="n"/>
      <c r="J6" s="12" t="n"/>
      <c r="K6" s="12" t="n"/>
      <c r="L6" s="13" t="n"/>
      <c r="M6" s="12" t="n"/>
      <c r="N6" s="14" t="n"/>
    </row>
    <row r="7">
      <c r="A7" s="12" t="n"/>
      <c r="B7" s="12" t="n"/>
      <c r="C7" s="12" t="n"/>
      <c r="D7" s="12" t="n"/>
      <c r="E7" s="13" t="n"/>
      <c r="F7" s="12" t="n"/>
      <c r="G7" s="10">
        <f>IF(A7="","",COUNTIF(招式表!$A$2:$A$201,A7))</f>
        <v/>
      </c>
      <c r="H7" s="12" t="n"/>
      <c r="I7" s="12" t="n"/>
      <c r="J7" s="12" t="n"/>
      <c r="K7" s="12" t="n"/>
      <c r="L7" s="13" t="n"/>
      <c r="M7" s="12" t="n"/>
      <c r="N7" s="14" t="n"/>
    </row>
    <row r="8">
      <c r="A8" s="12" t="n"/>
      <c r="B8" s="12" t="n"/>
      <c r="C8" s="12" t="n"/>
      <c r="D8" s="12" t="n"/>
      <c r="E8" s="13" t="n"/>
      <c r="F8" s="12" t="n"/>
      <c r="G8" s="10">
        <f>IF(A8="","",COUNTIF(招式表!$A$2:$A$201,A8))</f>
        <v/>
      </c>
      <c r="H8" s="12" t="n"/>
      <c r="I8" s="12" t="n"/>
      <c r="J8" s="12" t="n"/>
      <c r="K8" s="12" t="n"/>
      <c r="L8" s="13" t="n"/>
      <c r="M8" s="12" t="n"/>
      <c r="N8" s="14" t="n"/>
    </row>
    <row r="9">
      <c r="A9" s="12" t="n"/>
      <c r="B9" s="12" t="n"/>
      <c r="C9" s="12" t="n"/>
      <c r="D9" s="12" t="n"/>
      <c r="E9" s="13" t="n"/>
      <c r="F9" s="12" t="n"/>
      <c r="G9" s="10">
        <f>IF(A9="","",COUNTIF(招式表!$A$2:$A$201,A9))</f>
        <v/>
      </c>
      <c r="H9" s="12" t="n"/>
      <c r="I9" s="12" t="n"/>
      <c r="J9" s="12" t="n"/>
      <c r="K9" s="12" t="n"/>
      <c r="L9" s="13" t="n"/>
      <c r="M9" s="12" t="n"/>
      <c r="N9" s="14" t="n"/>
    </row>
    <row r="10">
      <c r="A10" s="12" t="n"/>
      <c r="B10" s="12" t="n"/>
      <c r="C10" s="12" t="n"/>
      <c r="D10" s="12" t="n"/>
      <c r="E10" s="13" t="n"/>
      <c r="F10" s="12" t="n"/>
      <c r="G10" s="10">
        <f>IF(A10="","",COUNTIF(招式表!$A$2:$A$201,A10))</f>
        <v/>
      </c>
      <c r="H10" s="12" t="n"/>
      <c r="I10" s="12" t="n"/>
      <c r="J10" s="12" t="n"/>
      <c r="K10" s="12" t="n"/>
      <c r="L10" s="13" t="n"/>
      <c r="M10" s="12" t="n"/>
      <c r="N10" s="14" t="n"/>
    </row>
    <row r="11">
      <c r="A11" s="12" t="n"/>
      <c r="B11" s="12" t="n"/>
      <c r="C11" s="12" t="n"/>
      <c r="D11" s="12" t="n"/>
      <c r="E11" s="13" t="n"/>
      <c r="F11" s="12" t="n"/>
      <c r="G11" s="10">
        <f>IF(A11="","",COUNTIF(招式表!$A$2:$A$201,A11))</f>
        <v/>
      </c>
      <c r="H11" s="12" t="n"/>
      <c r="I11" s="12" t="n"/>
      <c r="J11" s="12" t="n"/>
      <c r="K11" s="12" t="n"/>
      <c r="L11" s="13" t="n"/>
      <c r="M11" s="12" t="n"/>
      <c r="N11" s="14" t="n"/>
    </row>
    <row r="12">
      <c r="A12" s="12" t="n"/>
      <c r="B12" s="12" t="n"/>
      <c r="C12" s="12" t="n"/>
      <c r="D12" s="12" t="n"/>
      <c r="E12" s="13" t="n"/>
      <c r="F12" s="12" t="n"/>
      <c r="G12" s="10">
        <f>IF(A12="","",COUNTIF(招式表!$A$2:$A$201,A12))</f>
        <v/>
      </c>
      <c r="H12" s="12" t="n"/>
      <c r="I12" s="12" t="n"/>
      <c r="J12" s="12" t="n"/>
      <c r="K12" s="12" t="n"/>
      <c r="L12" s="13" t="n"/>
      <c r="M12" s="12" t="n"/>
      <c r="N12" s="14" t="n"/>
    </row>
    <row r="13">
      <c r="A13" s="12" t="n"/>
      <c r="B13" s="12" t="n"/>
      <c r="C13" s="12" t="n"/>
      <c r="D13" s="12" t="n"/>
      <c r="E13" s="13" t="n"/>
      <c r="F13" s="12" t="n"/>
      <c r="G13" s="10">
        <f>IF(A13="","",COUNTIF(招式表!$A$2:$A$201,A13))</f>
        <v/>
      </c>
      <c r="H13" s="12" t="n"/>
      <c r="I13" s="12" t="n"/>
      <c r="J13" s="12" t="n"/>
      <c r="K13" s="12" t="n"/>
      <c r="L13" s="13" t="n"/>
      <c r="M13" s="12" t="n"/>
      <c r="N13" s="14" t="n"/>
    </row>
    <row r="14">
      <c r="A14" s="12" t="n"/>
      <c r="B14" s="12" t="n"/>
      <c r="C14" s="12" t="n"/>
      <c r="D14" s="12" t="n"/>
      <c r="E14" s="13" t="n"/>
      <c r="F14" s="12" t="n"/>
      <c r="G14" s="10">
        <f>IF(A14="","",COUNTIF(招式表!$A$2:$A$201,A14))</f>
        <v/>
      </c>
      <c r="H14" s="12" t="n"/>
      <c r="I14" s="12" t="n"/>
      <c r="J14" s="12" t="n"/>
      <c r="K14" s="12" t="n"/>
      <c r="L14" s="13" t="n"/>
      <c r="M14" s="12" t="n"/>
      <c r="N14" s="14" t="n"/>
    </row>
    <row r="15">
      <c r="A15" s="12" t="n"/>
      <c r="B15" s="12" t="n"/>
      <c r="C15" s="12" t="n"/>
      <c r="D15" s="12" t="n"/>
      <c r="E15" s="13" t="n"/>
      <c r="F15" s="12" t="n"/>
      <c r="G15" s="10">
        <f>IF(A15="","",COUNTIF(招式表!$A$2:$A$201,A15))</f>
        <v/>
      </c>
      <c r="H15" s="12" t="n"/>
      <c r="I15" s="12" t="n"/>
      <c r="J15" s="12" t="n"/>
      <c r="K15" s="12" t="n"/>
      <c r="L15" s="13" t="n"/>
      <c r="M15" s="12" t="n"/>
      <c r="N15" s="14" t="n"/>
    </row>
    <row r="16">
      <c r="A16" s="12" t="n"/>
      <c r="B16" s="12" t="n"/>
      <c r="C16" s="12" t="n"/>
      <c r="D16" s="12" t="n"/>
      <c r="E16" s="13" t="n"/>
      <c r="F16" s="12" t="n"/>
      <c r="G16" s="10">
        <f>IF(A16="","",COUNTIF(招式表!$A$2:$A$201,A16))</f>
        <v/>
      </c>
      <c r="H16" s="12" t="n"/>
      <c r="I16" s="12" t="n"/>
      <c r="J16" s="12" t="n"/>
      <c r="K16" s="12" t="n"/>
      <c r="L16" s="13" t="n"/>
      <c r="M16" s="12" t="n"/>
      <c r="N16" s="14" t="n"/>
    </row>
    <row r="17">
      <c r="A17" s="12" t="n"/>
      <c r="B17" s="12" t="n"/>
      <c r="C17" s="12" t="n"/>
      <c r="D17" s="12" t="n"/>
      <c r="E17" s="13" t="n"/>
      <c r="F17" s="12" t="n"/>
      <c r="G17" s="10">
        <f>IF(A17="","",COUNTIF(招式表!$A$2:$A$201,A17))</f>
        <v/>
      </c>
      <c r="H17" s="12" t="n"/>
      <c r="I17" s="12" t="n"/>
      <c r="J17" s="12" t="n"/>
      <c r="K17" s="12" t="n"/>
      <c r="L17" s="13" t="n"/>
      <c r="M17" s="12" t="n"/>
      <c r="N17" s="14" t="n"/>
    </row>
    <row r="18">
      <c r="A18" s="12" t="n"/>
      <c r="B18" s="12" t="n"/>
      <c r="C18" s="12" t="n"/>
      <c r="D18" s="12" t="n"/>
      <c r="E18" s="13" t="n"/>
      <c r="F18" s="12" t="n"/>
      <c r="G18" s="10">
        <f>IF(A18="","",COUNTIF(招式表!$A$2:$A$201,A18))</f>
        <v/>
      </c>
      <c r="H18" s="12" t="n"/>
      <c r="I18" s="12" t="n"/>
      <c r="J18" s="12" t="n"/>
      <c r="K18" s="12" t="n"/>
      <c r="L18" s="13" t="n"/>
      <c r="M18" s="12" t="n"/>
      <c r="N18" s="14" t="n"/>
    </row>
    <row r="19">
      <c r="A19" s="12" t="n"/>
      <c r="B19" s="12" t="n"/>
      <c r="C19" s="12" t="n"/>
      <c r="D19" s="12" t="n"/>
      <c r="E19" s="13" t="n"/>
      <c r="F19" s="12" t="n"/>
      <c r="G19" s="10">
        <f>IF(A19="","",COUNTIF(招式表!$A$2:$A$201,A19))</f>
        <v/>
      </c>
      <c r="H19" s="12" t="n"/>
      <c r="I19" s="12" t="n"/>
      <c r="J19" s="12" t="n"/>
      <c r="K19" s="12" t="n"/>
      <c r="L19" s="13" t="n"/>
      <c r="M19" s="12" t="n"/>
      <c r="N19" s="14" t="n"/>
    </row>
    <row r="20">
      <c r="A20" s="12" t="n"/>
      <c r="B20" s="12" t="n"/>
      <c r="C20" s="12" t="n"/>
      <c r="D20" s="12" t="n"/>
      <c r="E20" s="13" t="n"/>
      <c r="F20" s="12" t="n"/>
      <c r="G20" s="10">
        <f>IF(A20="","",COUNTIF(招式表!$A$2:$A$201,A20))</f>
        <v/>
      </c>
      <c r="H20" s="12" t="n"/>
      <c r="I20" s="12" t="n"/>
      <c r="J20" s="12" t="n"/>
      <c r="K20" s="12" t="n"/>
      <c r="L20" s="13" t="n"/>
      <c r="M20" s="12" t="n"/>
      <c r="N20" s="14" t="n"/>
    </row>
    <row r="21">
      <c r="A21" s="12" t="n"/>
      <c r="B21" s="12" t="n"/>
      <c r="C21" s="12" t="n"/>
      <c r="D21" s="12" t="n"/>
      <c r="E21" s="13" t="n"/>
      <c r="F21" s="12" t="n"/>
      <c r="G21" s="10">
        <f>IF(A21="","",COUNTIF(招式表!$A$2:$A$201,A21))</f>
        <v/>
      </c>
      <c r="H21" s="12" t="n"/>
      <c r="I21" s="12" t="n"/>
      <c r="J21" s="12" t="n"/>
      <c r="K21" s="12" t="n"/>
      <c r="L21" s="13" t="n"/>
      <c r="M21" s="12" t="n"/>
      <c r="N21" s="14" t="n"/>
    </row>
    <row r="22">
      <c r="A22" s="12" t="n"/>
      <c r="B22" s="12" t="n"/>
      <c r="C22" s="12" t="n"/>
      <c r="D22" s="12" t="n"/>
      <c r="E22" s="13" t="n"/>
      <c r="F22" s="12" t="n"/>
      <c r="G22" s="10">
        <f>IF(A22="","",COUNTIF(招式表!$A$2:$A$201,A22))</f>
        <v/>
      </c>
      <c r="H22" s="12" t="n"/>
      <c r="I22" s="12" t="n"/>
      <c r="J22" s="12" t="n"/>
      <c r="K22" s="12" t="n"/>
      <c r="L22" s="13" t="n"/>
      <c r="M22" s="12" t="n"/>
      <c r="N22" s="14" t="n"/>
    </row>
    <row r="23">
      <c r="A23" s="12" t="n"/>
      <c r="B23" s="12" t="n"/>
      <c r="C23" s="12" t="n"/>
      <c r="D23" s="12" t="n"/>
      <c r="E23" s="13" t="n"/>
      <c r="F23" s="12" t="n"/>
      <c r="G23" s="10">
        <f>IF(A23="","",COUNTIF(招式表!$A$2:$A$201,A23))</f>
        <v/>
      </c>
      <c r="H23" s="12" t="n"/>
      <c r="I23" s="12" t="n"/>
      <c r="J23" s="12" t="n"/>
      <c r="K23" s="12" t="n"/>
      <c r="L23" s="13" t="n"/>
      <c r="M23" s="12" t="n"/>
      <c r="N23" s="14" t="n"/>
    </row>
    <row r="24">
      <c r="A24" s="12" t="n"/>
      <c r="B24" s="12" t="n"/>
      <c r="C24" s="12" t="n"/>
      <c r="D24" s="12" t="n"/>
      <c r="E24" s="13" t="n"/>
      <c r="F24" s="12" t="n"/>
      <c r="G24" s="10">
        <f>IF(A24="","",COUNTIF(招式表!$A$2:$A$201,A24))</f>
        <v/>
      </c>
      <c r="H24" s="12" t="n"/>
      <c r="I24" s="12" t="n"/>
      <c r="J24" s="12" t="n"/>
      <c r="K24" s="12" t="n"/>
      <c r="L24" s="13" t="n"/>
      <c r="M24" s="12" t="n"/>
      <c r="N24" s="14" t="n"/>
    </row>
    <row r="25">
      <c r="A25" s="12" t="n"/>
      <c r="B25" s="12" t="n"/>
      <c r="C25" s="12" t="n"/>
      <c r="D25" s="12" t="n"/>
      <c r="E25" s="13" t="n"/>
      <c r="F25" s="12" t="n"/>
      <c r="G25" s="10">
        <f>IF(A25="","",COUNTIF(招式表!$A$2:$A$201,A25))</f>
        <v/>
      </c>
      <c r="H25" s="12" t="n"/>
      <c r="I25" s="12" t="n"/>
      <c r="J25" s="12" t="n"/>
      <c r="K25" s="12" t="n"/>
      <c r="L25" s="13" t="n"/>
      <c r="M25" s="12" t="n"/>
      <c r="N25" s="14" t="n"/>
    </row>
    <row r="26">
      <c r="A26" s="12" t="n"/>
      <c r="B26" s="12" t="n"/>
      <c r="C26" s="12" t="n"/>
      <c r="D26" s="12" t="n"/>
      <c r="E26" s="13" t="n"/>
      <c r="F26" s="12" t="n"/>
      <c r="G26" s="10">
        <f>IF(A26="","",COUNTIF(招式表!$A$2:$A$201,A26))</f>
        <v/>
      </c>
      <c r="H26" s="12" t="n"/>
      <c r="I26" s="12" t="n"/>
      <c r="J26" s="12" t="n"/>
      <c r="K26" s="12" t="n"/>
      <c r="L26" s="13" t="n"/>
      <c r="M26" s="12" t="n"/>
      <c r="N26" s="14" t="n"/>
    </row>
    <row r="27">
      <c r="A27" s="12" t="n"/>
      <c r="B27" s="12" t="n"/>
      <c r="C27" s="12" t="n"/>
      <c r="D27" s="12" t="n"/>
      <c r="E27" s="13" t="n"/>
      <c r="F27" s="12" t="n"/>
      <c r="G27" s="10">
        <f>IF(A27="","",COUNTIF(招式表!$A$2:$A$201,A27))</f>
        <v/>
      </c>
      <c r="H27" s="12" t="n"/>
      <c r="I27" s="12" t="n"/>
      <c r="J27" s="12" t="n"/>
      <c r="K27" s="12" t="n"/>
      <c r="L27" s="13" t="n"/>
      <c r="M27" s="12" t="n"/>
      <c r="N27" s="14" t="n"/>
    </row>
    <row r="28">
      <c r="A28" s="12" t="n"/>
      <c r="B28" s="12" t="n"/>
      <c r="C28" s="12" t="n"/>
      <c r="D28" s="12" t="n"/>
      <c r="E28" s="13" t="n"/>
      <c r="F28" s="12" t="n"/>
      <c r="G28" s="10">
        <f>IF(A28="","",COUNTIF(招式表!$A$2:$A$201,A28))</f>
        <v/>
      </c>
      <c r="H28" s="12" t="n"/>
      <c r="I28" s="12" t="n"/>
      <c r="J28" s="12" t="n"/>
      <c r="K28" s="12" t="n"/>
      <c r="L28" s="13" t="n"/>
      <c r="M28" s="12" t="n"/>
      <c r="N28" s="14" t="n"/>
    </row>
    <row r="29">
      <c r="A29" s="12" t="n"/>
      <c r="B29" s="12" t="n"/>
      <c r="C29" s="12" t="n"/>
      <c r="D29" s="12" t="n"/>
      <c r="E29" s="13" t="n"/>
      <c r="F29" s="12" t="n"/>
      <c r="G29" s="10">
        <f>IF(A29="","",COUNTIF(招式表!$A$2:$A$201,A29))</f>
        <v/>
      </c>
      <c r="H29" s="12" t="n"/>
      <c r="I29" s="12" t="n"/>
      <c r="J29" s="12" t="n"/>
      <c r="K29" s="12" t="n"/>
      <c r="L29" s="13" t="n"/>
      <c r="M29" s="12" t="n"/>
      <c r="N29" s="14" t="n"/>
    </row>
    <row r="30">
      <c r="A30" s="12" t="n"/>
      <c r="B30" s="12" t="n"/>
      <c r="C30" s="12" t="n"/>
      <c r="D30" s="12" t="n"/>
      <c r="E30" s="13" t="n"/>
      <c r="F30" s="12" t="n"/>
      <c r="G30" s="10">
        <f>IF(A30="","",COUNTIF(招式表!$A$2:$A$201,A30))</f>
        <v/>
      </c>
      <c r="H30" s="12" t="n"/>
      <c r="I30" s="12" t="n"/>
      <c r="J30" s="12" t="n"/>
      <c r="K30" s="12" t="n"/>
      <c r="L30" s="13" t="n"/>
      <c r="M30" s="12" t="n"/>
      <c r="N30" s="14" t="n"/>
    </row>
    <row r="31">
      <c r="A31" s="12" t="n"/>
      <c r="B31" s="12" t="n"/>
      <c r="C31" s="12" t="n"/>
      <c r="D31" s="12" t="n"/>
      <c r="E31" s="13" t="n"/>
      <c r="F31" s="12" t="n"/>
      <c r="G31" s="10">
        <f>IF(A31="","",COUNTIF(招式表!$A$2:$A$201,A31))</f>
        <v/>
      </c>
      <c r="H31" s="12" t="n"/>
      <c r="I31" s="12" t="n"/>
      <c r="J31" s="12" t="n"/>
      <c r="K31" s="12" t="n"/>
      <c r="L31" s="13" t="n"/>
      <c r="M31" s="12" t="n"/>
      <c r="N31" s="14" t="n"/>
    </row>
    <row r="32">
      <c r="A32" s="12" t="n"/>
      <c r="B32" s="12" t="n"/>
      <c r="C32" s="12" t="n"/>
      <c r="D32" s="12" t="n"/>
      <c r="E32" s="13" t="n"/>
      <c r="F32" s="12" t="n"/>
      <c r="G32" s="10">
        <f>IF(A32="","",COUNTIF(招式表!$A$2:$A$201,A32))</f>
        <v/>
      </c>
      <c r="H32" s="12" t="n"/>
      <c r="I32" s="12" t="n"/>
      <c r="J32" s="12" t="n"/>
      <c r="K32" s="12" t="n"/>
      <c r="L32" s="13" t="n"/>
      <c r="M32" s="12" t="n"/>
      <c r="N32" s="14" t="n"/>
    </row>
    <row r="33">
      <c r="A33" s="12" t="n"/>
      <c r="B33" s="12" t="n"/>
      <c r="C33" s="12" t="n"/>
      <c r="D33" s="12" t="n"/>
      <c r="E33" s="13" t="n"/>
      <c r="F33" s="12" t="n"/>
      <c r="G33" s="10">
        <f>IF(A33="","",COUNTIF(招式表!$A$2:$A$201,A33))</f>
        <v/>
      </c>
      <c r="H33" s="12" t="n"/>
      <c r="I33" s="12" t="n"/>
      <c r="J33" s="12" t="n"/>
      <c r="K33" s="12" t="n"/>
      <c r="L33" s="13" t="n"/>
      <c r="M33" s="12" t="n"/>
      <c r="N33" s="14" t="n"/>
    </row>
    <row r="34">
      <c r="A34" s="12" t="n"/>
      <c r="B34" s="12" t="n"/>
      <c r="C34" s="12" t="n"/>
      <c r="D34" s="12" t="n"/>
      <c r="E34" s="13" t="n"/>
      <c r="F34" s="12" t="n"/>
      <c r="G34" s="10">
        <f>IF(A34="","",COUNTIF(招式表!$A$2:$A$201,A34))</f>
        <v/>
      </c>
      <c r="H34" s="12" t="n"/>
      <c r="I34" s="12" t="n"/>
      <c r="J34" s="12" t="n"/>
      <c r="K34" s="12" t="n"/>
      <c r="L34" s="13" t="n"/>
      <c r="M34" s="12" t="n"/>
      <c r="N34" s="14" t="n"/>
    </row>
    <row r="35">
      <c r="A35" s="12" t="n"/>
      <c r="B35" s="12" t="n"/>
      <c r="C35" s="12" t="n"/>
      <c r="D35" s="12" t="n"/>
      <c r="E35" s="13" t="n"/>
      <c r="F35" s="12" t="n"/>
      <c r="G35" s="10">
        <f>IF(A35="","",COUNTIF(招式表!$A$2:$A$201,A35))</f>
        <v/>
      </c>
      <c r="H35" s="12" t="n"/>
      <c r="I35" s="12" t="n"/>
      <c r="J35" s="12" t="n"/>
      <c r="K35" s="12" t="n"/>
      <c r="L35" s="13" t="n"/>
      <c r="M35" s="12" t="n"/>
      <c r="N35" s="14" t="n"/>
    </row>
    <row r="36">
      <c r="A36" s="12" t="n"/>
      <c r="B36" s="12" t="n"/>
      <c r="C36" s="12" t="n"/>
      <c r="D36" s="12" t="n"/>
      <c r="E36" s="13" t="n"/>
      <c r="F36" s="12" t="n"/>
      <c r="G36" s="10">
        <f>IF(A36="","",COUNTIF(招式表!$A$2:$A$201,A36))</f>
        <v/>
      </c>
      <c r="H36" s="12" t="n"/>
      <c r="I36" s="12" t="n"/>
      <c r="J36" s="12" t="n"/>
      <c r="K36" s="12" t="n"/>
      <c r="L36" s="13" t="n"/>
      <c r="M36" s="12" t="n"/>
      <c r="N36" s="14" t="n"/>
    </row>
    <row r="37">
      <c r="A37" s="12" t="n"/>
      <c r="B37" s="12" t="n"/>
      <c r="C37" s="12" t="n"/>
      <c r="D37" s="12" t="n"/>
      <c r="E37" s="13" t="n"/>
      <c r="F37" s="12" t="n"/>
      <c r="G37" s="10">
        <f>IF(A37="","",COUNTIF(招式表!$A$2:$A$201,A37))</f>
        <v/>
      </c>
      <c r="H37" s="12" t="n"/>
      <c r="I37" s="12" t="n"/>
      <c r="J37" s="12" t="n"/>
      <c r="K37" s="12" t="n"/>
      <c r="L37" s="13" t="n"/>
      <c r="M37" s="12" t="n"/>
      <c r="N37" s="14" t="n"/>
    </row>
    <row r="38">
      <c r="A38" s="12" t="n"/>
      <c r="B38" s="12" t="n"/>
      <c r="C38" s="12" t="n"/>
      <c r="D38" s="12" t="n"/>
      <c r="E38" s="13" t="n"/>
      <c r="F38" s="12" t="n"/>
      <c r="G38" s="10">
        <f>IF(A38="","",COUNTIF(招式表!$A$2:$A$201,A38))</f>
        <v/>
      </c>
      <c r="H38" s="12" t="n"/>
      <c r="I38" s="12" t="n"/>
      <c r="J38" s="12" t="n"/>
      <c r="K38" s="12" t="n"/>
      <c r="L38" s="13" t="n"/>
      <c r="M38" s="12" t="n"/>
      <c r="N38" s="14" t="n"/>
    </row>
    <row r="39">
      <c r="A39" s="12" t="n"/>
      <c r="B39" s="12" t="n"/>
      <c r="C39" s="12" t="n"/>
      <c r="D39" s="12" t="n"/>
      <c r="E39" s="13" t="n"/>
      <c r="F39" s="12" t="n"/>
      <c r="G39" s="10">
        <f>IF(A39="","",COUNTIF(招式表!$A$2:$A$201,A39))</f>
        <v/>
      </c>
      <c r="H39" s="12" t="n"/>
      <c r="I39" s="12" t="n"/>
      <c r="J39" s="12" t="n"/>
      <c r="K39" s="12" t="n"/>
      <c r="L39" s="13" t="n"/>
      <c r="M39" s="12" t="n"/>
      <c r="N39" s="14" t="n"/>
    </row>
    <row r="40">
      <c r="A40" s="12" t="n"/>
      <c r="B40" s="12" t="n"/>
      <c r="C40" s="12" t="n"/>
      <c r="D40" s="12" t="n"/>
      <c r="E40" s="13" t="n"/>
      <c r="F40" s="12" t="n"/>
      <c r="G40" s="10">
        <f>IF(A40="","",COUNTIF(招式表!$A$2:$A$201,A40))</f>
        <v/>
      </c>
      <c r="H40" s="12" t="n"/>
      <c r="I40" s="12" t="n"/>
      <c r="J40" s="12" t="n"/>
      <c r="K40" s="12" t="n"/>
      <c r="L40" s="13" t="n"/>
      <c r="M40" s="12" t="n"/>
      <c r="N40" s="14" t="n"/>
    </row>
    <row r="41">
      <c r="A41" s="12" t="n"/>
      <c r="B41" s="12" t="n"/>
      <c r="C41" s="12" t="n"/>
      <c r="D41" s="12" t="n"/>
      <c r="E41" s="13" t="n"/>
      <c r="F41" s="12" t="n"/>
      <c r="G41" s="10">
        <f>IF(A41="","",COUNTIF(招式表!$A$2:$A$201,A41))</f>
        <v/>
      </c>
      <c r="H41" s="12" t="n"/>
      <c r="I41" s="12" t="n"/>
      <c r="J41" s="12" t="n"/>
      <c r="K41" s="12" t="n"/>
      <c r="L41" s="13" t="n"/>
      <c r="M41" s="12" t="n"/>
      <c r="N41" s="14" t="n"/>
    </row>
    <row r="42">
      <c r="A42" s="12" t="n"/>
      <c r="B42" s="12" t="n"/>
      <c r="C42" s="12" t="n"/>
      <c r="D42" s="12" t="n"/>
      <c r="E42" s="13" t="n"/>
      <c r="F42" s="12" t="n"/>
      <c r="G42" s="10">
        <f>IF(A42="","",COUNTIF(招式表!$A$2:$A$201,A42))</f>
        <v/>
      </c>
      <c r="H42" s="12" t="n"/>
      <c r="I42" s="12" t="n"/>
      <c r="J42" s="12" t="n"/>
      <c r="K42" s="12" t="n"/>
      <c r="L42" s="13" t="n"/>
      <c r="M42" s="12" t="n"/>
      <c r="N42" s="14" t="n"/>
    </row>
    <row r="43">
      <c r="A43" s="12" t="n"/>
      <c r="B43" s="12" t="n"/>
      <c r="C43" s="12" t="n"/>
      <c r="D43" s="12" t="n"/>
      <c r="E43" s="13" t="n"/>
      <c r="F43" s="12" t="n"/>
      <c r="G43" s="10">
        <f>IF(A43="","",COUNTIF(招式表!$A$2:$A$201,A43))</f>
        <v/>
      </c>
      <c r="H43" s="12" t="n"/>
      <c r="I43" s="12" t="n"/>
      <c r="J43" s="12" t="n"/>
      <c r="K43" s="12" t="n"/>
      <c r="L43" s="13" t="n"/>
      <c r="M43" s="12" t="n"/>
      <c r="N43" s="14" t="n"/>
    </row>
    <row r="44">
      <c r="A44" s="12" t="n"/>
      <c r="B44" s="12" t="n"/>
      <c r="C44" s="12" t="n"/>
      <c r="D44" s="12" t="n"/>
      <c r="E44" s="13" t="n"/>
      <c r="F44" s="12" t="n"/>
      <c r="G44" s="10">
        <f>IF(A44="","",COUNTIF(招式表!$A$2:$A$201,A44))</f>
        <v/>
      </c>
      <c r="H44" s="12" t="n"/>
      <c r="I44" s="12" t="n"/>
      <c r="J44" s="12" t="n"/>
      <c r="K44" s="12" t="n"/>
      <c r="L44" s="13" t="n"/>
      <c r="M44" s="12" t="n"/>
      <c r="N44" s="14" t="n"/>
    </row>
    <row r="45">
      <c r="A45" s="12" t="n"/>
      <c r="B45" s="12" t="n"/>
      <c r="C45" s="12" t="n"/>
      <c r="D45" s="12" t="n"/>
      <c r="E45" s="13" t="n"/>
      <c r="F45" s="12" t="n"/>
      <c r="G45" s="10">
        <f>IF(A45="","",COUNTIF(招式表!$A$2:$A$201,A45))</f>
        <v/>
      </c>
      <c r="H45" s="12" t="n"/>
      <c r="I45" s="12" t="n"/>
      <c r="J45" s="12" t="n"/>
      <c r="K45" s="12" t="n"/>
      <c r="L45" s="13" t="n"/>
      <c r="M45" s="12" t="n"/>
      <c r="N45" s="14" t="n"/>
    </row>
    <row r="46">
      <c r="A46" s="12" t="n"/>
      <c r="B46" s="12" t="n"/>
      <c r="C46" s="12" t="n"/>
      <c r="D46" s="12" t="n"/>
      <c r="E46" s="13" t="n"/>
      <c r="F46" s="12" t="n"/>
      <c r="G46" s="10">
        <f>IF(A46="","",COUNTIF(招式表!$A$2:$A$201,A46))</f>
        <v/>
      </c>
      <c r="H46" s="12" t="n"/>
      <c r="I46" s="12" t="n"/>
      <c r="J46" s="12" t="n"/>
      <c r="K46" s="12" t="n"/>
      <c r="L46" s="13" t="n"/>
      <c r="M46" s="12" t="n"/>
      <c r="N46" s="14" t="n"/>
    </row>
    <row r="47">
      <c r="A47" s="12" t="n"/>
      <c r="B47" s="12" t="n"/>
      <c r="C47" s="12" t="n"/>
      <c r="D47" s="12" t="n"/>
      <c r="E47" s="13" t="n"/>
      <c r="F47" s="12" t="n"/>
      <c r="G47" s="10">
        <f>IF(A47="","",COUNTIF(招式表!$A$2:$A$201,A47))</f>
        <v/>
      </c>
      <c r="H47" s="12" t="n"/>
      <c r="I47" s="12" t="n"/>
      <c r="J47" s="12" t="n"/>
      <c r="K47" s="12" t="n"/>
      <c r="L47" s="13" t="n"/>
      <c r="M47" s="12" t="n"/>
      <c r="N47" s="14" t="n"/>
    </row>
    <row r="48">
      <c r="A48" s="12" t="n"/>
      <c r="B48" s="12" t="n"/>
      <c r="C48" s="12" t="n"/>
      <c r="D48" s="12" t="n"/>
      <c r="E48" s="13" t="n"/>
      <c r="F48" s="12" t="n"/>
      <c r="G48" s="10">
        <f>IF(A48="","",COUNTIF(招式表!$A$2:$A$201,A48))</f>
        <v/>
      </c>
      <c r="H48" s="12" t="n"/>
      <c r="I48" s="12" t="n"/>
      <c r="J48" s="12" t="n"/>
      <c r="K48" s="12" t="n"/>
      <c r="L48" s="13" t="n"/>
      <c r="M48" s="12" t="n"/>
      <c r="N48" s="14" t="n"/>
    </row>
    <row r="49">
      <c r="A49" s="12" t="n"/>
      <c r="B49" s="12" t="n"/>
      <c r="C49" s="12" t="n"/>
      <c r="D49" s="12" t="n"/>
      <c r="E49" s="13" t="n"/>
      <c r="F49" s="12" t="n"/>
      <c r="G49" s="10">
        <f>IF(A49="","",COUNTIF(招式表!$A$2:$A$201,A49))</f>
        <v/>
      </c>
      <c r="H49" s="12" t="n"/>
      <c r="I49" s="12" t="n"/>
      <c r="J49" s="12" t="n"/>
      <c r="K49" s="12" t="n"/>
      <c r="L49" s="13" t="n"/>
      <c r="M49" s="12" t="n"/>
      <c r="N49" s="14" t="n"/>
    </row>
    <row r="50">
      <c r="A50" s="12" t="n"/>
      <c r="B50" s="12" t="n"/>
      <c r="C50" s="12" t="n"/>
      <c r="D50" s="12" t="n"/>
      <c r="E50" s="13" t="n"/>
      <c r="F50" s="12" t="n"/>
      <c r="G50" s="10">
        <f>IF(A50="","",COUNTIF(招式表!$A$2:$A$201,A50))</f>
        <v/>
      </c>
      <c r="H50" s="12" t="n"/>
      <c r="I50" s="12" t="n"/>
      <c r="J50" s="12" t="n"/>
      <c r="K50" s="12" t="n"/>
      <c r="L50" s="13" t="n"/>
      <c r="M50" s="12" t="n"/>
      <c r="N50" s="14" t="n"/>
    </row>
    <row r="51">
      <c r="A51" s="12" t="n"/>
      <c r="B51" s="12" t="n"/>
      <c r="C51" s="12" t="n"/>
      <c r="D51" s="12" t="n"/>
      <c r="E51" s="13" t="n"/>
      <c r="F51" s="12" t="n"/>
      <c r="G51" s="10">
        <f>IF(A51="","",COUNTIF(招式表!$A$2:$A$201,A51))</f>
        <v/>
      </c>
      <c r="H51" s="12" t="n"/>
      <c r="I51" s="12" t="n"/>
      <c r="J51" s="12" t="n"/>
      <c r="K51" s="12" t="n"/>
      <c r="L51" s="13" t="n"/>
      <c r="M51" s="12" t="n"/>
      <c r="N51" s="14" t="n"/>
    </row>
    <row r="52">
      <c r="A52" s="12" t="n"/>
      <c r="B52" s="12" t="n"/>
      <c r="C52" s="12" t="n"/>
      <c r="D52" s="12" t="n"/>
      <c r="E52" s="13" t="n"/>
      <c r="F52" s="12" t="n"/>
      <c r="G52" s="10">
        <f>IF(A52="","",COUNTIF(招式表!$A$2:$A$201,A52))</f>
        <v/>
      </c>
      <c r="H52" s="12" t="n"/>
      <c r="I52" s="12" t="n"/>
      <c r="J52" s="12" t="n"/>
      <c r="K52" s="12" t="n"/>
      <c r="L52" s="13" t="n"/>
      <c r="M52" s="12" t="n"/>
      <c r="N52" s="14" t="n"/>
    </row>
    <row r="53">
      <c r="A53" s="12" t="n"/>
      <c r="B53" s="12" t="n"/>
      <c r="C53" s="12" t="n"/>
      <c r="D53" s="12" t="n"/>
      <c r="E53" s="13" t="n"/>
      <c r="F53" s="12" t="n"/>
      <c r="G53" s="10">
        <f>IF(A53="","",COUNTIF(招式表!$A$2:$A$201,A53))</f>
        <v/>
      </c>
      <c r="H53" s="12" t="n"/>
      <c r="I53" s="12" t="n"/>
      <c r="J53" s="12" t="n"/>
      <c r="K53" s="12" t="n"/>
      <c r="L53" s="13" t="n"/>
      <c r="M53" s="12" t="n"/>
      <c r="N53" s="14" t="n"/>
    </row>
    <row r="54">
      <c r="A54" s="12" t="n"/>
      <c r="B54" s="12" t="n"/>
      <c r="C54" s="12" t="n"/>
      <c r="D54" s="12" t="n"/>
      <c r="E54" s="13" t="n"/>
      <c r="F54" s="12" t="n"/>
      <c r="G54" s="10">
        <f>IF(A54="","",COUNTIF(招式表!$A$2:$A$201,A54))</f>
        <v/>
      </c>
      <c r="H54" s="12" t="n"/>
      <c r="I54" s="12" t="n"/>
      <c r="J54" s="12" t="n"/>
      <c r="K54" s="12" t="n"/>
      <c r="L54" s="13" t="n"/>
      <c r="M54" s="12" t="n"/>
      <c r="N54" s="14" t="n"/>
    </row>
    <row r="55">
      <c r="A55" s="12" t="n"/>
      <c r="B55" s="12" t="n"/>
      <c r="C55" s="12" t="n"/>
      <c r="D55" s="12" t="n"/>
      <c r="E55" s="13" t="n"/>
      <c r="F55" s="12" t="n"/>
      <c r="G55" s="10">
        <f>IF(A55="","",COUNTIF(招式表!$A$2:$A$201,A55))</f>
        <v/>
      </c>
      <c r="H55" s="12" t="n"/>
      <c r="I55" s="12" t="n"/>
      <c r="J55" s="12" t="n"/>
      <c r="K55" s="12" t="n"/>
      <c r="L55" s="13" t="n"/>
      <c r="M55" s="12" t="n"/>
      <c r="N55" s="14" t="n"/>
    </row>
    <row r="56">
      <c r="A56" s="12" t="n"/>
      <c r="B56" s="12" t="n"/>
      <c r="C56" s="12" t="n"/>
      <c r="D56" s="12" t="n"/>
      <c r="E56" s="13" t="n"/>
      <c r="F56" s="12" t="n"/>
      <c r="G56" s="10">
        <f>IF(A56="","",COUNTIF(招式表!$A$2:$A$201,A56))</f>
        <v/>
      </c>
      <c r="H56" s="12" t="n"/>
      <c r="I56" s="12" t="n"/>
      <c r="J56" s="12" t="n"/>
      <c r="K56" s="12" t="n"/>
      <c r="L56" s="13" t="n"/>
      <c r="M56" s="12" t="n"/>
      <c r="N56" s="14" t="n"/>
    </row>
    <row r="57">
      <c r="A57" s="12" t="n"/>
      <c r="B57" s="12" t="n"/>
      <c r="C57" s="12" t="n"/>
      <c r="D57" s="12" t="n"/>
      <c r="E57" s="13" t="n"/>
      <c r="F57" s="12" t="n"/>
      <c r="G57" s="10">
        <f>IF(A57="","",COUNTIF(招式表!$A$2:$A$201,A57))</f>
        <v/>
      </c>
      <c r="H57" s="12" t="n"/>
      <c r="I57" s="12" t="n"/>
      <c r="J57" s="12" t="n"/>
      <c r="K57" s="12" t="n"/>
      <c r="L57" s="13" t="n"/>
      <c r="M57" s="12" t="n"/>
      <c r="N57" s="14" t="n"/>
    </row>
    <row r="58">
      <c r="A58" s="12" t="n"/>
      <c r="B58" s="12" t="n"/>
      <c r="C58" s="12" t="n"/>
      <c r="D58" s="12" t="n"/>
      <c r="E58" s="13" t="n"/>
      <c r="F58" s="12" t="n"/>
      <c r="G58" s="10">
        <f>IF(A58="","",COUNTIF(招式表!$A$2:$A$201,A58))</f>
        <v/>
      </c>
      <c r="H58" s="12" t="n"/>
      <c r="I58" s="12" t="n"/>
      <c r="J58" s="12" t="n"/>
      <c r="K58" s="12" t="n"/>
      <c r="L58" s="13" t="n"/>
      <c r="M58" s="12" t="n"/>
      <c r="N58" s="14" t="n"/>
    </row>
    <row r="59">
      <c r="A59" s="12" t="n"/>
      <c r="B59" s="12" t="n"/>
      <c r="C59" s="12" t="n"/>
      <c r="D59" s="12" t="n"/>
      <c r="E59" s="13" t="n"/>
      <c r="F59" s="12" t="n"/>
      <c r="G59" s="10">
        <f>IF(A59="","",COUNTIF(招式表!$A$2:$A$201,A59))</f>
        <v/>
      </c>
      <c r="H59" s="12" t="n"/>
      <c r="I59" s="12" t="n"/>
      <c r="J59" s="12" t="n"/>
      <c r="K59" s="12" t="n"/>
      <c r="L59" s="13" t="n"/>
      <c r="M59" s="12" t="n"/>
      <c r="N59" s="14" t="n"/>
    </row>
    <row r="60">
      <c r="A60" s="12" t="n"/>
      <c r="B60" s="12" t="n"/>
      <c r="C60" s="12" t="n"/>
      <c r="D60" s="12" t="n"/>
      <c r="E60" s="13" t="n"/>
      <c r="F60" s="12" t="n"/>
      <c r="G60" s="10">
        <f>IF(A60="","",COUNTIF(招式表!$A$2:$A$201,A60))</f>
        <v/>
      </c>
      <c r="H60" s="12" t="n"/>
      <c r="I60" s="12" t="n"/>
      <c r="J60" s="12" t="n"/>
      <c r="K60" s="12" t="n"/>
      <c r="L60" s="13" t="n"/>
      <c r="M60" s="12" t="n"/>
      <c r="N60" s="14" t="n"/>
    </row>
    <row r="61">
      <c r="A61" s="12" t="n"/>
      <c r="B61" s="12" t="n"/>
      <c r="C61" s="12" t="n"/>
      <c r="D61" s="12" t="n"/>
      <c r="E61" s="13" t="n"/>
      <c r="F61" s="12" t="n"/>
      <c r="G61" s="10">
        <f>IF(A61="","",COUNTIF(招式表!$A$2:$A$201,A61))</f>
        <v/>
      </c>
      <c r="H61" s="12" t="n"/>
      <c r="I61" s="12" t="n"/>
      <c r="J61" s="12" t="n"/>
      <c r="K61" s="12" t="n"/>
      <c r="L61" s="13" t="n"/>
      <c r="M61" s="12" t="n"/>
      <c r="N61" s="14" t="n"/>
    </row>
    <row r="62">
      <c r="A62" s="12" t="n"/>
      <c r="B62" s="12" t="n"/>
      <c r="C62" s="12" t="n"/>
      <c r="D62" s="12" t="n"/>
      <c r="E62" s="13" t="n"/>
      <c r="F62" s="12" t="n"/>
      <c r="G62" s="10">
        <f>IF(A62="","",COUNTIF(招式表!$A$2:$A$201,A62))</f>
        <v/>
      </c>
      <c r="H62" s="12" t="n"/>
      <c r="I62" s="12" t="n"/>
      <c r="J62" s="12" t="n"/>
      <c r="K62" s="12" t="n"/>
      <c r="L62" s="13" t="n"/>
      <c r="M62" s="12" t="n"/>
      <c r="N62" s="14" t="n"/>
    </row>
    <row r="63">
      <c r="A63" s="12" t="n"/>
      <c r="B63" s="12" t="n"/>
      <c r="C63" s="12" t="n"/>
      <c r="D63" s="12" t="n"/>
      <c r="E63" s="13" t="n"/>
      <c r="F63" s="12" t="n"/>
      <c r="G63" s="10">
        <f>IF(A63="","",COUNTIF(招式表!$A$2:$A$201,A63))</f>
        <v/>
      </c>
      <c r="H63" s="12" t="n"/>
      <c r="I63" s="12" t="n"/>
      <c r="J63" s="12" t="n"/>
      <c r="K63" s="12" t="n"/>
      <c r="L63" s="13" t="n"/>
      <c r="M63" s="12" t="n"/>
      <c r="N63" s="14" t="n"/>
    </row>
    <row r="64">
      <c r="A64" s="12" t="n"/>
      <c r="B64" s="12" t="n"/>
      <c r="C64" s="12" t="n"/>
      <c r="D64" s="12" t="n"/>
      <c r="E64" s="13" t="n"/>
      <c r="F64" s="12" t="n"/>
      <c r="G64" s="10">
        <f>IF(A64="","",COUNTIF(招式表!$A$2:$A$201,A64))</f>
        <v/>
      </c>
      <c r="H64" s="12" t="n"/>
      <c r="I64" s="12" t="n"/>
      <c r="J64" s="12" t="n"/>
      <c r="K64" s="12" t="n"/>
      <c r="L64" s="13" t="n"/>
      <c r="M64" s="12" t="n"/>
      <c r="N64" s="14" t="n"/>
    </row>
    <row r="65">
      <c r="A65" s="12" t="n"/>
      <c r="B65" s="12" t="n"/>
      <c r="C65" s="12" t="n"/>
      <c r="D65" s="12" t="n"/>
      <c r="E65" s="13" t="n"/>
      <c r="F65" s="12" t="n"/>
      <c r="G65" s="10">
        <f>IF(A65="","",COUNTIF(招式表!$A$2:$A$201,A65))</f>
        <v/>
      </c>
      <c r="H65" s="12" t="n"/>
      <c r="I65" s="12" t="n"/>
      <c r="J65" s="12" t="n"/>
      <c r="K65" s="12" t="n"/>
      <c r="L65" s="13" t="n"/>
      <c r="M65" s="12" t="n"/>
      <c r="N65" s="14" t="n"/>
    </row>
    <row r="66">
      <c r="A66" s="12" t="n"/>
      <c r="B66" s="12" t="n"/>
      <c r="C66" s="12" t="n"/>
      <c r="D66" s="12" t="n"/>
      <c r="E66" s="13" t="n"/>
      <c r="F66" s="12" t="n"/>
      <c r="G66" s="10">
        <f>IF(A66="","",COUNTIF(招式表!$A$2:$A$201,A66))</f>
        <v/>
      </c>
      <c r="H66" s="12" t="n"/>
      <c r="I66" s="12" t="n"/>
      <c r="J66" s="12" t="n"/>
      <c r="K66" s="12" t="n"/>
      <c r="L66" s="13" t="n"/>
      <c r="M66" s="12" t="n"/>
      <c r="N66" s="14" t="n"/>
    </row>
    <row r="67">
      <c r="A67" s="12" t="n"/>
      <c r="B67" s="12" t="n"/>
      <c r="C67" s="12" t="n"/>
      <c r="D67" s="12" t="n"/>
      <c r="E67" s="13" t="n"/>
      <c r="F67" s="12" t="n"/>
      <c r="G67" s="10">
        <f>IF(A67="","",COUNTIF(招式表!$A$2:$A$201,A67))</f>
        <v/>
      </c>
      <c r="H67" s="12" t="n"/>
      <c r="I67" s="12" t="n"/>
      <c r="J67" s="12" t="n"/>
      <c r="K67" s="12" t="n"/>
      <c r="L67" s="13" t="n"/>
      <c r="M67" s="12" t="n"/>
      <c r="N67" s="14" t="n"/>
    </row>
    <row r="68">
      <c r="A68" s="12" t="n"/>
      <c r="B68" s="12" t="n"/>
      <c r="C68" s="12" t="n"/>
      <c r="D68" s="12" t="n"/>
      <c r="E68" s="13" t="n"/>
      <c r="F68" s="12" t="n"/>
      <c r="G68" s="10">
        <f>IF(A68="","",COUNTIF(招式表!$A$2:$A$201,A68))</f>
        <v/>
      </c>
      <c r="H68" s="12" t="n"/>
      <c r="I68" s="12" t="n"/>
      <c r="J68" s="12" t="n"/>
      <c r="K68" s="12" t="n"/>
      <c r="L68" s="13" t="n"/>
      <c r="M68" s="12" t="n"/>
      <c r="N68" s="14" t="n"/>
    </row>
    <row r="69">
      <c r="A69" s="12" t="n"/>
      <c r="B69" s="12" t="n"/>
      <c r="C69" s="12" t="n"/>
      <c r="D69" s="12" t="n"/>
      <c r="E69" s="13" t="n"/>
      <c r="F69" s="12" t="n"/>
      <c r="G69" s="10">
        <f>IF(A69="","",COUNTIF(招式表!$A$2:$A$201,A69))</f>
        <v/>
      </c>
      <c r="H69" s="12" t="n"/>
      <c r="I69" s="12" t="n"/>
      <c r="J69" s="12" t="n"/>
      <c r="K69" s="12" t="n"/>
      <c r="L69" s="13" t="n"/>
      <c r="M69" s="12" t="n"/>
      <c r="N69" s="14" t="n"/>
    </row>
    <row r="70">
      <c r="A70" s="12" t="n"/>
      <c r="B70" s="12" t="n"/>
      <c r="C70" s="12" t="n"/>
      <c r="D70" s="12" t="n"/>
      <c r="E70" s="13" t="n"/>
      <c r="F70" s="12" t="n"/>
      <c r="G70" s="10">
        <f>IF(A70="","",COUNTIF(招式表!$A$2:$A$201,A70))</f>
        <v/>
      </c>
      <c r="H70" s="12" t="n"/>
      <c r="I70" s="12" t="n"/>
      <c r="J70" s="12" t="n"/>
      <c r="K70" s="12" t="n"/>
      <c r="L70" s="13" t="n"/>
      <c r="M70" s="12" t="n"/>
      <c r="N70" s="14" t="n"/>
    </row>
    <row r="71">
      <c r="A71" s="12" t="n"/>
      <c r="B71" s="12" t="n"/>
      <c r="C71" s="12" t="n"/>
      <c r="D71" s="12" t="n"/>
      <c r="E71" s="13" t="n"/>
      <c r="F71" s="12" t="n"/>
      <c r="G71" s="10">
        <f>IF(A71="","",COUNTIF(招式表!$A$2:$A$201,A71))</f>
        <v/>
      </c>
      <c r="H71" s="12" t="n"/>
      <c r="I71" s="12" t="n"/>
      <c r="J71" s="12" t="n"/>
      <c r="K71" s="12" t="n"/>
      <c r="L71" s="13" t="n"/>
      <c r="M71" s="12" t="n"/>
      <c r="N71" s="14" t="n"/>
    </row>
    <row r="72">
      <c r="A72" s="12" t="n"/>
      <c r="B72" s="12" t="n"/>
      <c r="C72" s="12" t="n"/>
      <c r="D72" s="12" t="n"/>
      <c r="E72" s="13" t="n"/>
      <c r="F72" s="12" t="n"/>
      <c r="G72" s="10">
        <f>IF(A72="","",COUNTIF(招式表!$A$2:$A$201,A72))</f>
        <v/>
      </c>
      <c r="H72" s="12" t="n"/>
      <c r="I72" s="12" t="n"/>
      <c r="J72" s="12" t="n"/>
      <c r="K72" s="12" t="n"/>
      <c r="L72" s="13" t="n"/>
      <c r="M72" s="12" t="n"/>
      <c r="N72" s="14" t="n"/>
    </row>
    <row r="73">
      <c r="A73" s="12" t="n"/>
      <c r="B73" s="12" t="n"/>
      <c r="C73" s="12" t="n"/>
      <c r="D73" s="12" t="n"/>
      <c r="E73" s="13" t="n"/>
      <c r="F73" s="12" t="n"/>
      <c r="G73" s="10">
        <f>IF(A73="","",COUNTIF(招式表!$A$2:$A$201,A73))</f>
        <v/>
      </c>
      <c r="H73" s="12" t="n"/>
      <c r="I73" s="12" t="n"/>
      <c r="J73" s="12" t="n"/>
      <c r="K73" s="12" t="n"/>
      <c r="L73" s="13" t="n"/>
      <c r="M73" s="12" t="n"/>
      <c r="N73" s="14" t="n"/>
    </row>
    <row r="74">
      <c r="A74" s="12" t="n"/>
      <c r="B74" s="12" t="n"/>
      <c r="C74" s="12" t="n"/>
      <c r="D74" s="12" t="n"/>
      <c r="E74" s="13" t="n"/>
      <c r="F74" s="12" t="n"/>
      <c r="G74" s="10">
        <f>IF(A74="","",COUNTIF(招式表!$A$2:$A$201,A74))</f>
        <v/>
      </c>
      <c r="H74" s="12" t="n"/>
      <c r="I74" s="12" t="n"/>
      <c r="J74" s="12" t="n"/>
      <c r="K74" s="12" t="n"/>
      <c r="L74" s="13" t="n"/>
      <c r="M74" s="12" t="n"/>
      <c r="N74" s="14" t="n"/>
    </row>
    <row r="75">
      <c r="A75" s="12" t="n"/>
      <c r="B75" s="12" t="n"/>
      <c r="C75" s="12" t="n"/>
      <c r="D75" s="12" t="n"/>
      <c r="E75" s="13" t="n"/>
      <c r="F75" s="12" t="n"/>
      <c r="G75" s="10">
        <f>IF(A75="","",COUNTIF(招式表!$A$2:$A$201,A75))</f>
        <v/>
      </c>
      <c r="H75" s="12" t="n"/>
      <c r="I75" s="12" t="n"/>
      <c r="J75" s="12" t="n"/>
      <c r="K75" s="12" t="n"/>
      <c r="L75" s="13" t="n"/>
      <c r="M75" s="12" t="n"/>
      <c r="N75" s="14" t="n"/>
    </row>
    <row r="76">
      <c r="A76" s="12" t="n"/>
      <c r="B76" s="12" t="n"/>
      <c r="C76" s="12" t="n"/>
      <c r="D76" s="12" t="n"/>
      <c r="E76" s="13" t="n"/>
      <c r="F76" s="12" t="n"/>
      <c r="G76" s="10">
        <f>IF(A76="","",COUNTIF(招式表!$A$2:$A$201,A76))</f>
        <v/>
      </c>
      <c r="H76" s="12" t="n"/>
      <c r="I76" s="12" t="n"/>
      <c r="J76" s="12" t="n"/>
      <c r="K76" s="12" t="n"/>
      <c r="L76" s="13" t="n"/>
      <c r="M76" s="12" t="n"/>
      <c r="N76" s="14" t="n"/>
    </row>
    <row r="77">
      <c r="A77" s="12" t="n"/>
      <c r="B77" s="12" t="n"/>
      <c r="C77" s="12" t="n"/>
      <c r="D77" s="12" t="n"/>
      <c r="E77" s="13" t="n"/>
      <c r="F77" s="12" t="n"/>
      <c r="G77" s="10">
        <f>IF(A77="","",COUNTIF(招式表!$A$2:$A$201,A77))</f>
        <v/>
      </c>
      <c r="H77" s="12" t="n"/>
      <c r="I77" s="12" t="n"/>
      <c r="J77" s="12" t="n"/>
      <c r="K77" s="12" t="n"/>
      <c r="L77" s="13" t="n"/>
      <c r="M77" s="12" t="n"/>
      <c r="N77" s="14" t="n"/>
    </row>
    <row r="78">
      <c r="A78" s="12" t="n"/>
      <c r="B78" s="12" t="n"/>
      <c r="C78" s="12" t="n"/>
      <c r="D78" s="12" t="n"/>
      <c r="E78" s="13" t="n"/>
      <c r="F78" s="12" t="n"/>
      <c r="G78" s="10">
        <f>IF(A78="","",COUNTIF(招式表!$A$2:$A$201,A78))</f>
        <v/>
      </c>
      <c r="H78" s="12" t="n"/>
      <c r="I78" s="12" t="n"/>
      <c r="J78" s="12" t="n"/>
      <c r="K78" s="12" t="n"/>
      <c r="L78" s="13" t="n"/>
      <c r="M78" s="12" t="n"/>
      <c r="N78" s="14" t="n"/>
    </row>
    <row r="79">
      <c r="A79" s="12" t="n"/>
      <c r="B79" s="12" t="n"/>
      <c r="C79" s="12" t="n"/>
      <c r="D79" s="12" t="n"/>
      <c r="E79" s="13" t="n"/>
      <c r="F79" s="12" t="n"/>
      <c r="G79" s="10">
        <f>IF(A79="","",COUNTIF(招式表!$A$2:$A$201,A79))</f>
        <v/>
      </c>
      <c r="H79" s="12" t="n"/>
      <c r="I79" s="12" t="n"/>
      <c r="J79" s="12" t="n"/>
      <c r="K79" s="12" t="n"/>
      <c r="L79" s="13" t="n"/>
      <c r="M79" s="12" t="n"/>
      <c r="N79" s="14" t="n"/>
    </row>
    <row r="80">
      <c r="A80" s="12" t="n"/>
      <c r="B80" s="12" t="n"/>
      <c r="C80" s="12" t="n"/>
      <c r="D80" s="12" t="n"/>
      <c r="E80" s="13" t="n"/>
      <c r="F80" s="12" t="n"/>
      <c r="G80" s="10">
        <f>IF(A80="","",COUNTIF(招式表!$A$2:$A$201,A80))</f>
        <v/>
      </c>
      <c r="H80" s="12" t="n"/>
      <c r="I80" s="12" t="n"/>
      <c r="J80" s="12" t="n"/>
      <c r="K80" s="12" t="n"/>
      <c r="L80" s="13" t="n"/>
      <c r="M80" s="12" t="n"/>
      <c r="N80" s="14" t="n"/>
    </row>
    <row r="81">
      <c r="A81" s="12" t="n"/>
      <c r="B81" s="12" t="n"/>
      <c r="C81" s="12" t="n"/>
      <c r="D81" s="12" t="n"/>
      <c r="E81" s="13" t="n"/>
      <c r="F81" s="12" t="n"/>
      <c r="G81" s="10">
        <f>IF(A81="","",COUNTIF(招式表!$A$2:$A$201,A81))</f>
        <v/>
      </c>
      <c r="H81" s="12" t="n"/>
      <c r="I81" s="12" t="n"/>
      <c r="J81" s="12" t="n"/>
      <c r="K81" s="12" t="n"/>
      <c r="L81" s="13" t="n"/>
      <c r="M81" s="12" t="n"/>
      <c r="N81" s="14" t="n"/>
    </row>
    <row r="82">
      <c r="A82" s="12" t="n"/>
      <c r="B82" s="12" t="n"/>
      <c r="C82" s="12" t="n"/>
      <c r="D82" s="12" t="n"/>
      <c r="E82" s="13" t="n"/>
      <c r="F82" s="12" t="n"/>
      <c r="G82" s="10">
        <f>IF(A82="","",COUNTIF(招式表!$A$2:$A$201,A82))</f>
        <v/>
      </c>
      <c r="H82" s="12" t="n"/>
      <c r="I82" s="12" t="n"/>
      <c r="J82" s="12" t="n"/>
      <c r="K82" s="12" t="n"/>
      <c r="L82" s="13" t="n"/>
      <c r="M82" s="12" t="n"/>
      <c r="N82" s="14" t="n"/>
    </row>
    <row r="83">
      <c r="A83" s="12" t="n"/>
      <c r="B83" s="12" t="n"/>
      <c r="C83" s="12" t="n"/>
      <c r="D83" s="12" t="n"/>
      <c r="E83" s="13" t="n"/>
      <c r="F83" s="12" t="n"/>
      <c r="G83" s="10">
        <f>IF(A83="","",COUNTIF(招式表!$A$2:$A$201,A83))</f>
        <v/>
      </c>
      <c r="H83" s="12" t="n"/>
      <c r="I83" s="12" t="n"/>
      <c r="J83" s="12" t="n"/>
      <c r="K83" s="12" t="n"/>
      <c r="L83" s="13" t="n"/>
      <c r="M83" s="12" t="n"/>
      <c r="N83" s="14" t="n"/>
    </row>
    <row r="84">
      <c r="A84" s="12" t="n"/>
      <c r="B84" s="12" t="n"/>
      <c r="C84" s="12" t="n"/>
      <c r="D84" s="12" t="n"/>
      <c r="E84" s="13" t="n"/>
      <c r="F84" s="12" t="n"/>
      <c r="G84" s="10">
        <f>IF(A84="","",COUNTIF(招式表!$A$2:$A$201,A84))</f>
        <v/>
      </c>
      <c r="H84" s="12" t="n"/>
      <c r="I84" s="12" t="n"/>
      <c r="J84" s="12" t="n"/>
      <c r="K84" s="12" t="n"/>
      <c r="L84" s="13" t="n"/>
      <c r="M84" s="12" t="n"/>
      <c r="N84" s="14" t="n"/>
    </row>
    <row r="85">
      <c r="A85" s="12" t="n"/>
      <c r="B85" s="12" t="n"/>
      <c r="C85" s="12" t="n"/>
      <c r="D85" s="12" t="n"/>
      <c r="E85" s="13" t="n"/>
      <c r="F85" s="12" t="n"/>
      <c r="G85" s="10">
        <f>IF(A85="","",COUNTIF(招式表!$A$2:$A$201,A85))</f>
        <v/>
      </c>
      <c r="H85" s="12" t="n"/>
      <c r="I85" s="12" t="n"/>
      <c r="J85" s="12" t="n"/>
      <c r="K85" s="12" t="n"/>
      <c r="L85" s="13" t="n"/>
      <c r="M85" s="12" t="n"/>
      <c r="N85" s="14" t="n"/>
    </row>
    <row r="86">
      <c r="A86" s="12" t="n"/>
      <c r="B86" s="12" t="n"/>
      <c r="C86" s="12" t="n"/>
      <c r="D86" s="12" t="n"/>
      <c r="E86" s="13" t="n"/>
      <c r="F86" s="12" t="n"/>
      <c r="G86" s="10">
        <f>IF(A86="","",COUNTIF(招式表!$A$2:$A$201,A86))</f>
        <v/>
      </c>
      <c r="H86" s="12" t="n"/>
      <c r="I86" s="12" t="n"/>
      <c r="J86" s="12" t="n"/>
      <c r="K86" s="12" t="n"/>
      <c r="L86" s="13" t="n"/>
      <c r="M86" s="12" t="n"/>
      <c r="N86" s="14" t="n"/>
    </row>
    <row r="87">
      <c r="A87" s="12" t="n"/>
      <c r="B87" s="12" t="n"/>
      <c r="C87" s="12" t="n"/>
      <c r="D87" s="12" t="n"/>
      <c r="E87" s="13" t="n"/>
      <c r="F87" s="12" t="n"/>
      <c r="G87" s="10">
        <f>IF(A87="","",COUNTIF(招式表!$A$2:$A$201,A87))</f>
        <v/>
      </c>
      <c r="H87" s="12" t="n"/>
      <c r="I87" s="12" t="n"/>
      <c r="J87" s="12" t="n"/>
      <c r="K87" s="12" t="n"/>
      <c r="L87" s="13" t="n"/>
      <c r="M87" s="12" t="n"/>
      <c r="N87" s="14" t="n"/>
    </row>
    <row r="88">
      <c r="A88" s="12" t="n"/>
      <c r="B88" s="12" t="n"/>
      <c r="C88" s="12" t="n"/>
      <c r="D88" s="12" t="n"/>
      <c r="E88" s="13" t="n"/>
      <c r="F88" s="12" t="n"/>
      <c r="G88" s="10">
        <f>IF(A88="","",COUNTIF(招式表!$A$2:$A$201,A88))</f>
        <v/>
      </c>
      <c r="H88" s="12" t="n"/>
      <c r="I88" s="12" t="n"/>
      <c r="J88" s="12" t="n"/>
      <c r="K88" s="12" t="n"/>
      <c r="L88" s="13" t="n"/>
      <c r="M88" s="12" t="n"/>
      <c r="N88" s="14" t="n"/>
    </row>
    <row r="89">
      <c r="A89" s="12" t="n"/>
      <c r="B89" s="12" t="n"/>
      <c r="C89" s="12" t="n"/>
      <c r="D89" s="12" t="n"/>
      <c r="E89" s="13" t="n"/>
      <c r="F89" s="12" t="n"/>
      <c r="G89" s="10">
        <f>IF(A89="","",COUNTIF(招式表!$A$2:$A$201,A89))</f>
        <v/>
      </c>
      <c r="H89" s="12" t="n"/>
      <c r="I89" s="12" t="n"/>
      <c r="J89" s="12" t="n"/>
      <c r="K89" s="12" t="n"/>
      <c r="L89" s="13" t="n"/>
      <c r="M89" s="12" t="n"/>
      <c r="N89" s="14" t="n"/>
    </row>
    <row r="90">
      <c r="A90" s="12" t="n"/>
      <c r="B90" s="12" t="n"/>
      <c r="C90" s="12" t="n"/>
      <c r="D90" s="12" t="n"/>
      <c r="E90" s="13" t="n"/>
      <c r="F90" s="12" t="n"/>
      <c r="G90" s="10">
        <f>IF(A90="","",COUNTIF(招式表!$A$2:$A$201,A90))</f>
        <v/>
      </c>
      <c r="H90" s="12" t="n"/>
      <c r="I90" s="12" t="n"/>
      <c r="J90" s="12" t="n"/>
      <c r="K90" s="12" t="n"/>
      <c r="L90" s="13" t="n"/>
      <c r="M90" s="12" t="n"/>
      <c r="N90" s="14" t="n"/>
    </row>
    <row r="91">
      <c r="A91" s="12" t="n"/>
      <c r="B91" s="12" t="n"/>
      <c r="C91" s="12" t="n"/>
      <c r="D91" s="12" t="n"/>
      <c r="E91" s="13" t="n"/>
      <c r="F91" s="12" t="n"/>
      <c r="G91" s="10">
        <f>IF(A91="","",COUNTIF(招式表!$A$2:$A$201,A91))</f>
        <v/>
      </c>
      <c r="H91" s="12" t="n"/>
      <c r="I91" s="12" t="n"/>
      <c r="J91" s="12" t="n"/>
      <c r="K91" s="12" t="n"/>
      <c r="L91" s="13" t="n"/>
      <c r="M91" s="12" t="n"/>
      <c r="N91" s="14" t="n"/>
    </row>
    <row r="92">
      <c r="A92" s="12" t="n"/>
      <c r="B92" s="12" t="n"/>
      <c r="C92" s="12" t="n"/>
      <c r="D92" s="12" t="n"/>
      <c r="E92" s="13" t="n"/>
      <c r="F92" s="12" t="n"/>
      <c r="G92" s="10">
        <f>IF(A92="","",COUNTIF(招式表!$A$2:$A$201,A92))</f>
        <v/>
      </c>
      <c r="H92" s="12" t="n"/>
      <c r="I92" s="12" t="n"/>
      <c r="J92" s="12" t="n"/>
      <c r="K92" s="12" t="n"/>
      <c r="L92" s="13" t="n"/>
      <c r="M92" s="12" t="n"/>
      <c r="N92" s="14" t="n"/>
    </row>
    <row r="93">
      <c r="A93" s="12" t="n"/>
      <c r="B93" s="12" t="n"/>
      <c r="C93" s="12" t="n"/>
      <c r="D93" s="12" t="n"/>
      <c r="E93" s="13" t="n"/>
      <c r="F93" s="12" t="n"/>
      <c r="G93" s="10">
        <f>IF(A93="","",COUNTIF(招式表!$A$2:$A$201,A93))</f>
        <v/>
      </c>
      <c r="H93" s="12" t="n"/>
      <c r="I93" s="12" t="n"/>
      <c r="J93" s="12" t="n"/>
      <c r="K93" s="12" t="n"/>
      <c r="L93" s="13" t="n"/>
      <c r="M93" s="12" t="n"/>
      <c r="N93" s="14" t="n"/>
    </row>
    <row r="94">
      <c r="A94" s="12" t="n"/>
      <c r="B94" s="12" t="n"/>
      <c r="C94" s="12" t="n"/>
      <c r="D94" s="12" t="n"/>
      <c r="E94" s="13" t="n"/>
      <c r="F94" s="12" t="n"/>
      <c r="G94" s="10">
        <f>IF(A94="","",COUNTIF(招式表!$A$2:$A$201,A94))</f>
        <v/>
      </c>
      <c r="H94" s="12" t="n"/>
      <c r="I94" s="12" t="n"/>
      <c r="J94" s="12" t="n"/>
      <c r="K94" s="12" t="n"/>
      <c r="L94" s="13" t="n"/>
      <c r="M94" s="12" t="n"/>
      <c r="N94" s="14" t="n"/>
    </row>
    <row r="95">
      <c r="A95" s="12" t="n"/>
      <c r="B95" s="12" t="n"/>
      <c r="C95" s="12" t="n"/>
      <c r="D95" s="12" t="n"/>
      <c r="E95" s="13" t="n"/>
      <c r="F95" s="12" t="n"/>
      <c r="G95" s="10">
        <f>IF(A95="","",COUNTIF(招式表!$A$2:$A$201,A95))</f>
        <v/>
      </c>
      <c r="H95" s="12" t="n"/>
      <c r="I95" s="12" t="n"/>
      <c r="J95" s="12" t="n"/>
      <c r="K95" s="12" t="n"/>
      <c r="L95" s="13" t="n"/>
      <c r="M95" s="12" t="n"/>
      <c r="N95" s="14" t="n"/>
    </row>
    <row r="96">
      <c r="A96" s="12" t="n"/>
      <c r="B96" s="12" t="n"/>
      <c r="C96" s="12" t="n"/>
      <c r="D96" s="12" t="n"/>
      <c r="E96" s="13" t="n"/>
      <c r="F96" s="12" t="n"/>
      <c r="G96" s="10">
        <f>IF(A96="","",COUNTIF(招式表!$A$2:$A$201,A96))</f>
        <v/>
      </c>
      <c r="H96" s="12" t="n"/>
      <c r="I96" s="12" t="n"/>
      <c r="J96" s="12" t="n"/>
      <c r="K96" s="12" t="n"/>
      <c r="L96" s="13" t="n"/>
      <c r="M96" s="12" t="n"/>
      <c r="N96" s="14" t="n"/>
    </row>
    <row r="97">
      <c r="A97" s="12" t="n"/>
      <c r="B97" s="12" t="n"/>
      <c r="C97" s="12" t="n"/>
      <c r="D97" s="12" t="n"/>
      <c r="E97" s="13" t="n"/>
      <c r="F97" s="12" t="n"/>
      <c r="G97" s="10">
        <f>IF(A97="","",COUNTIF(招式表!$A$2:$A$201,A97))</f>
        <v/>
      </c>
      <c r="H97" s="12" t="n"/>
      <c r="I97" s="12" t="n"/>
      <c r="J97" s="12" t="n"/>
      <c r="K97" s="12" t="n"/>
      <c r="L97" s="13" t="n"/>
      <c r="M97" s="12" t="n"/>
      <c r="N97" s="14" t="n"/>
    </row>
    <row r="98">
      <c r="A98" s="12" t="n"/>
      <c r="B98" s="12" t="n"/>
      <c r="C98" s="12" t="n"/>
      <c r="D98" s="12" t="n"/>
      <c r="E98" s="13" t="n"/>
      <c r="F98" s="12" t="n"/>
      <c r="G98" s="10">
        <f>IF(A98="","",COUNTIF(招式表!$A$2:$A$201,A98))</f>
        <v/>
      </c>
      <c r="H98" s="12" t="n"/>
      <c r="I98" s="12" t="n"/>
      <c r="J98" s="12" t="n"/>
      <c r="K98" s="12" t="n"/>
      <c r="L98" s="13" t="n"/>
      <c r="M98" s="12" t="n"/>
      <c r="N98" s="14" t="n"/>
    </row>
    <row r="99">
      <c r="A99" s="12" t="n"/>
      <c r="B99" s="12" t="n"/>
      <c r="C99" s="12" t="n"/>
      <c r="D99" s="12" t="n"/>
      <c r="E99" s="13" t="n"/>
      <c r="F99" s="12" t="n"/>
      <c r="G99" s="10">
        <f>IF(A99="","",COUNTIF(招式表!$A$2:$A$201,A99))</f>
        <v/>
      </c>
      <c r="H99" s="12" t="n"/>
      <c r="I99" s="12" t="n"/>
      <c r="J99" s="12" t="n"/>
      <c r="K99" s="12" t="n"/>
      <c r="L99" s="13" t="n"/>
      <c r="M99" s="12" t="n"/>
      <c r="N99" s="14" t="n"/>
    </row>
    <row r="100">
      <c r="A100" s="12" t="n"/>
      <c r="B100" s="12" t="n"/>
      <c r="C100" s="12" t="n"/>
      <c r="D100" s="12" t="n"/>
      <c r="E100" s="13" t="n"/>
      <c r="F100" s="12" t="n"/>
      <c r="G100" s="10">
        <f>IF(A100="","",COUNTIF(招式表!$A$2:$A$201,A100))</f>
        <v/>
      </c>
      <c r="H100" s="12" t="n"/>
      <c r="I100" s="12" t="n"/>
      <c r="J100" s="12" t="n"/>
      <c r="K100" s="12" t="n"/>
      <c r="L100" s="13" t="n"/>
      <c r="M100" s="12" t="n"/>
      <c r="N100" s="14" t="n"/>
    </row>
    <row r="101">
      <c r="A101" s="12" t="n"/>
      <c r="B101" s="12" t="n"/>
      <c r="C101" s="12" t="n"/>
      <c r="D101" s="12" t="n"/>
      <c r="E101" s="13" t="n"/>
      <c r="F101" s="12" t="n"/>
      <c r="G101" s="10">
        <f>IF(A101="","",COUNTIF(招式表!$A$2:$A$201,A101))</f>
        <v/>
      </c>
      <c r="H101" s="12" t="n"/>
      <c r="I101" s="12" t="n"/>
      <c r="J101" s="12" t="n"/>
      <c r="K101" s="12" t="n"/>
      <c r="L101" s="13" t="n"/>
      <c r="M101" s="12" t="n"/>
      <c r="N101" s="14" t="n"/>
    </row>
    <row r="102">
      <c r="A102" s="12" t="n"/>
      <c r="B102" s="12" t="n"/>
      <c r="C102" s="12" t="n"/>
      <c r="D102" s="12" t="n"/>
      <c r="E102" s="13" t="n"/>
      <c r="F102" s="12" t="n"/>
      <c r="G102" s="10">
        <f>IF(A102="","",COUNTIF(招式表!$A$2:$A$201,A102))</f>
        <v/>
      </c>
      <c r="H102" s="12" t="n"/>
      <c r="I102" s="12" t="n"/>
      <c r="J102" s="12" t="n"/>
      <c r="K102" s="12" t="n"/>
      <c r="L102" s="13" t="n"/>
      <c r="M102" s="12" t="n"/>
      <c r="N102" s="14" t="n"/>
    </row>
    <row r="103">
      <c r="A103" s="12" t="n"/>
      <c r="B103" s="12" t="n"/>
      <c r="C103" s="12" t="n"/>
      <c r="D103" s="12" t="n"/>
      <c r="E103" s="13" t="n"/>
      <c r="F103" s="12" t="n"/>
      <c r="G103" s="10">
        <f>IF(A103="","",COUNTIF(招式表!$A$2:$A$201,A103))</f>
        <v/>
      </c>
      <c r="H103" s="12" t="n"/>
      <c r="I103" s="12" t="n"/>
      <c r="J103" s="12" t="n"/>
      <c r="K103" s="12" t="n"/>
      <c r="L103" s="13" t="n"/>
      <c r="M103" s="12" t="n"/>
      <c r="N103" s="14" t="n"/>
    </row>
    <row r="104">
      <c r="A104" s="12" t="n"/>
      <c r="B104" s="12" t="n"/>
      <c r="C104" s="12" t="n"/>
      <c r="D104" s="12" t="n"/>
      <c r="E104" s="13" t="n"/>
      <c r="F104" s="12" t="n"/>
      <c r="G104" s="10">
        <f>IF(A104="","",COUNTIF(招式表!$A$2:$A$201,A104))</f>
        <v/>
      </c>
      <c r="H104" s="12" t="n"/>
      <c r="I104" s="12" t="n"/>
      <c r="J104" s="12" t="n"/>
      <c r="K104" s="12" t="n"/>
      <c r="L104" s="13" t="n"/>
      <c r="M104" s="12" t="n"/>
      <c r="N104" s="14" t="n"/>
    </row>
    <row r="105">
      <c r="A105" s="12" t="n"/>
      <c r="B105" s="12" t="n"/>
      <c r="C105" s="12" t="n"/>
      <c r="D105" s="12" t="n"/>
      <c r="E105" s="13" t="n"/>
      <c r="F105" s="12" t="n"/>
      <c r="G105" s="10">
        <f>IF(A105="","",COUNTIF(招式表!$A$2:$A$201,A105))</f>
        <v/>
      </c>
      <c r="H105" s="12" t="n"/>
      <c r="I105" s="12" t="n"/>
      <c r="J105" s="12" t="n"/>
      <c r="K105" s="12" t="n"/>
      <c r="L105" s="13" t="n"/>
      <c r="M105" s="12" t="n"/>
      <c r="N105" s="14" t="n"/>
    </row>
    <row r="106">
      <c r="A106" s="12" t="n"/>
      <c r="B106" s="12" t="n"/>
      <c r="C106" s="12" t="n"/>
      <c r="D106" s="12" t="n"/>
      <c r="E106" s="13" t="n"/>
      <c r="F106" s="12" t="n"/>
      <c r="G106" s="10">
        <f>IF(A106="","",COUNTIF(招式表!$A$2:$A$201,A106))</f>
        <v/>
      </c>
      <c r="H106" s="12" t="n"/>
      <c r="I106" s="12" t="n"/>
      <c r="J106" s="12" t="n"/>
      <c r="K106" s="12" t="n"/>
      <c r="L106" s="13" t="n"/>
      <c r="M106" s="12" t="n"/>
      <c r="N106" s="14" t="n"/>
    </row>
    <row r="107">
      <c r="A107" s="12" t="n"/>
      <c r="B107" s="12" t="n"/>
      <c r="C107" s="12" t="n"/>
      <c r="D107" s="12" t="n"/>
      <c r="E107" s="13" t="n"/>
      <c r="F107" s="12" t="n"/>
      <c r="G107" s="10">
        <f>IF(A107="","",COUNTIF(招式表!$A$2:$A$201,A107))</f>
        <v/>
      </c>
      <c r="H107" s="12" t="n"/>
      <c r="I107" s="12" t="n"/>
      <c r="J107" s="12" t="n"/>
      <c r="K107" s="12" t="n"/>
      <c r="L107" s="13" t="n"/>
      <c r="M107" s="12" t="n"/>
      <c r="N107" s="14" t="n"/>
    </row>
    <row r="108">
      <c r="A108" s="12" t="n"/>
      <c r="B108" s="12" t="n"/>
      <c r="C108" s="12" t="n"/>
      <c r="D108" s="12" t="n"/>
      <c r="E108" s="13" t="n"/>
      <c r="F108" s="12" t="n"/>
      <c r="G108" s="10">
        <f>IF(A108="","",COUNTIF(招式表!$A$2:$A$201,A108))</f>
        <v/>
      </c>
      <c r="H108" s="12" t="n"/>
      <c r="I108" s="12" t="n"/>
      <c r="J108" s="12" t="n"/>
      <c r="K108" s="12" t="n"/>
      <c r="L108" s="13" t="n"/>
      <c r="M108" s="12" t="n"/>
      <c r="N108" s="14" t="n"/>
    </row>
    <row r="109">
      <c r="A109" s="12" t="n"/>
      <c r="B109" s="12" t="n"/>
      <c r="C109" s="12" t="n"/>
      <c r="D109" s="12" t="n"/>
      <c r="E109" s="13" t="n"/>
      <c r="F109" s="12" t="n"/>
      <c r="G109" s="10">
        <f>IF(A109="","",COUNTIF(招式表!$A$2:$A$201,A109))</f>
        <v/>
      </c>
      <c r="H109" s="12" t="n"/>
      <c r="I109" s="12" t="n"/>
      <c r="J109" s="12" t="n"/>
      <c r="K109" s="12" t="n"/>
      <c r="L109" s="13" t="n"/>
      <c r="M109" s="12" t="n"/>
      <c r="N109" s="14" t="n"/>
    </row>
    <row r="110">
      <c r="A110" s="12" t="n"/>
      <c r="B110" s="12" t="n"/>
      <c r="C110" s="12" t="n"/>
      <c r="D110" s="12" t="n"/>
      <c r="E110" s="13" t="n"/>
      <c r="F110" s="12" t="n"/>
      <c r="G110" s="10">
        <f>IF(A110="","",COUNTIF(招式表!$A$2:$A$201,A110))</f>
        <v/>
      </c>
      <c r="H110" s="12" t="n"/>
      <c r="I110" s="12" t="n"/>
      <c r="J110" s="12" t="n"/>
      <c r="K110" s="12" t="n"/>
      <c r="L110" s="13" t="n"/>
      <c r="M110" s="12" t="n"/>
      <c r="N110" s="14" t="n"/>
    </row>
    <row r="111">
      <c r="A111" s="12" t="n"/>
      <c r="B111" s="12" t="n"/>
      <c r="C111" s="12" t="n"/>
      <c r="D111" s="12" t="n"/>
      <c r="E111" s="13" t="n"/>
      <c r="F111" s="12" t="n"/>
      <c r="G111" s="10">
        <f>IF(A111="","",COUNTIF(招式表!$A$2:$A$201,A111))</f>
        <v/>
      </c>
      <c r="H111" s="12" t="n"/>
      <c r="I111" s="12" t="n"/>
      <c r="J111" s="12" t="n"/>
      <c r="K111" s="12" t="n"/>
      <c r="L111" s="13" t="n"/>
      <c r="M111" s="12" t="n"/>
      <c r="N111" s="14" t="n"/>
    </row>
    <row r="112">
      <c r="A112" s="12" t="n"/>
      <c r="B112" s="12" t="n"/>
      <c r="C112" s="12" t="n"/>
      <c r="D112" s="12" t="n"/>
      <c r="E112" s="13" t="n"/>
      <c r="F112" s="12" t="n"/>
      <c r="G112" s="10">
        <f>IF(A112="","",COUNTIF(招式表!$A$2:$A$201,A112))</f>
        <v/>
      </c>
      <c r="H112" s="12" t="n"/>
      <c r="I112" s="12" t="n"/>
      <c r="J112" s="12" t="n"/>
      <c r="K112" s="12" t="n"/>
      <c r="L112" s="13" t="n"/>
      <c r="M112" s="12" t="n"/>
      <c r="N112" s="14" t="n"/>
    </row>
    <row r="113">
      <c r="A113" s="12" t="n"/>
      <c r="B113" s="12" t="n"/>
      <c r="C113" s="12" t="n"/>
      <c r="D113" s="12" t="n"/>
      <c r="E113" s="13" t="n"/>
      <c r="F113" s="12" t="n"/>
      <c r="G113" s="10">
        <f>IF(A113="","",COUNTIF(招式表!$A$2:$A$201,A113))</f>
        <v/>
      </c>
      <c r="H113" s="12" t="n"/>
      <c r="I113" s="12" t="n"/>
      <c r="J113" s="12" t="n"/>
      <c r="K113" s="12" t="n"/>
      <c r="L113" s="13" t="n"/>
      <c r="M113" s="12" t="n"/>
      <c r="N113" s="14" t="n"/>
    </row>
    <row r="114">
      <c r="A114" s="12" t="n"/>
      <c r="B114" s="12" t="n"/>
      <c r="C114" s="12" t="n"/>
      <c r="D114" s="12" t="n"/>
      <c r="E114" s="13" t="n"/>
      <c r="F114" s="12" t="n"/>
      <c r="G114" s="10">
        <f>IF(A114="","",COUNTIF(招式表!$A$2:$A$201,A114))</f>
        <v/>
      </c>
      <c r="H114" s="12" t="n"/>
      <c r="I114" s="12" t="n"/>
      <c r="J114" s="12" t="n"/>
      <c r="K114" s="12" t="n"/>
      <c r="L114" s="13" t="n"/>
      <c r="M114" s="12" t="n"/>
      <c r="N114" s="14" t="n"/>
    </row>
    <row r="115">
      <c r="A115" s="12" t="n"/>
      <c r="B115" s="12" t="n"/>
      <c r="C115" s="12" t="n"/>
      <c r="D115" s="12" t="n"/>
      <c r="E115" s="13" t="n"/>
      <c r="F115" s="12" t="n"/>
      <c r="G115" s="10">
        <f>IF(A115="","",COUNTIF(招式表!$A$2:$A$201,A115))</f>
        <v/>
      </c>
      <c r="H115" s="12" t="n"/>
      <c r="I115" s="12" t="n"/>
      <c r="J115" s="12" t="n"/>
      <c r="K115" s="12" t="n"/>
      <c r="L115" s="13" t="n"/>
      <c r="M115" s="12" t="n"/>
      <c r="N115" s="14" t="n"/>
    </row>
    <row r="116">
      <c r="A116" s="12" t="n"/>
      <c r="B116" s="12" t="n"/>
      <c r="C116" s="12" t="n"/>
      <c r="D116" s="12" t="n"/>
      <c r="E116" s="13" t="n"/>
      <c r="F116" s="12" t="n"/>
      <c r="G116" s="10">
        <f>IF(A116="","",COUNTIF(招式表!$A$2:$A$201,A116))</f>
        <v/>
      </c>
      <c r="H116" s="12" t="n"/>
      <c r="I116" s="12" t="n"/>
      <c r="J116" s="12" t="n"/>
      <c r="K116" s="12" t="n"/>
      <c r="L116" s="13" t="n"/>
      <c r="M116" s="12" t="n"/>
      <c r="N116" s="14" t="n"/>
    </row>
    <row r="117">
      <c r="A117" s="12" t="n"/>
      <c r="B117" s="12" t="n"/>
      <c r="C117" s="12" t="n"/>
      <c r="D117" s="12" t="n"/>
      <c r="E117" s="13" t="n"/>
      <c r="F117" s="12" t="n"/>
      <c r="G117" s="10">
        <f>IF(A117="","",COUNTIF(招式表!$A$2:$A$201,A117))</f>
        <v/>
      </c>
      <c r="H117" s="12" t="n"/>
      <c r="I117" s="12" t="n"/>
      <c r="J117" s="12" t="n"/>
      <c r="K117" s="12" t="n"/>
      <c r="L117" s="13" t="n"/>
      <c r="M117" s="12" t="n"/>
      <c r="N117" s="14" t="n"/>
    </row>
    <row r="118">
      <c r="A118" s="12" t="n"/>
      <c r="B118" s="12" t="n"/>
      <c r="C118" s="12" t="n"/>
      <c r="D118" s="12" t="n"/>
      <c r="E118" s="13" t="n"/>
      <c r="F118" s="12" t="n"/>
      <c r="G118" s="10">
        <f>IF(A118="","",COUNTIF(招式表!$A$2:$A$201,A118))</f>
        <v/>
      </c>
      <c r="H118" s="12" t="n"/>
      <c r="I118" s="12" t="n"/>
      <c r="J118" s="12" t="n"/>
      <c r="K118" s="12" t="n"/>
      <c r="L118" s="13" t="n"/>
      <c r="M118" s="12" t="n"/>
      <c r="N118" s="14" t="n"/>
    </row>
    <row r="119">
      <c r="A119" s="12" t="n"/>
      <c r="B119" s="12" t="n"/>
      <c r="C119" s="12" t="n"/>
      <c r="D119" s="12" t="n"/>
      <c r="E119" s="13" t="n"/>
      <c r="F119" s="12" t="n"/>
      <c r="G119" s="10">
        <f>IF(A119="","",COUNTIF(招式表!$A$2:$A$201,A119))</f>
        <v/>
      </c>
      <c r="H119" s="12" t="n"/>
      <c r="I119" s="12" t="n"/>
      <c r="J119" s="12" t="n"/>
      <c r="K119" s="12" t="n"/>
      <c r="L119" s="13" t="n"/>
      <c r="M119" s="12" t="n"/>
      <c r="N119" s="14" t="n"/>
    </row>
    <row r="120">
      <c r="A120" s="12" t="n"/>
      <c r="B120" s="12" t="n"/>
      <c r="C120" s="12" t="n"/>
      <c r="D120" s="12" t="n"/>
      <c r="E120" s="13" t="n"/>
      <c r="F120" s="12" t="n"/>
      <c r="G120" s="10">
        <f>IF(A120="","",COUNTIF(招式表!$A$2:$A$201,A120))</f>
        <v/>
      </c>
      <c r="H120" s="12" t="n"/>
      <c r="I120" s="12" t="n"/>
      <c r="J120" s="12" t="n"/>
      <c r="K120" s="12" t="n"/>
      <c r="L120" s="13" t="n"/>
      <c r="M120" s="12" t="n"/>
      <c r="N120" s="14" t="n"/>
    </row>
    <row r="121">
      <c r="A121" s="12" t="n"/>
      <c r="B121" s="12" t="n"/>
      <c r="C121" s="12" t="n"/>
      <c r="D121" s="12" t="n"/>
      <c r="E121" s="13" t="n"/>
      <c r="F121" s="12" t="n"/>
      <c r="G121" s="10">
        <f>IF(A121="","",COUNTIF(招式表!$A$2:$A$201,A121))</f>
        <v/>
      </c>
      <c r="H121" s="12" t="n"/>
      <c r="I121" s="12" t="n"/>
      <c r="J121" s="12" t="n"/>
      <c r="K121" s="12" t="n"/>
      <c r="L121" s="13" t="n"/>
      <c r="M121" s="12" t="n"/>
      <c r="N121" s="14" t="n"/>
    </row>
    <row r="122">
      <c r="A122" s="12" t="n"/>
      <c r="B122" s="12" t="n"/>
      <c r="C122" s="12" t="n"/>
      <c r="D122" s="12" t="n"/>
      <c r="E122" s="13" t="n"/>
      <c r="F122" s="12" t="n"/>
      <c r="G122" s="10">
        <f>IF(A122="","",COUNTIF(招式表!$A$2:$A$201,A122))</f>
        <v/>
      </c>
      <c r="H122" s="12" t="n"/>
      <c r="I122" s="12" t="n"/>
      <c r="J122" s="12" t="n"/>
      <c r="K122" s="12" t="n"/>
      <c r="L122" s="13" t="n"/>
      <c r="M122" s="12" t="n"/>
      <c r="N122" s="14" t="n"/>
    </row>
    <row r="123">
      <c r="A123" s="12" t="n"/>
      <c r="B123" s="12" t="n"/>
      <c r="C123" s="12" t="n"/>
      <c r="D123" s="12" t="n"/>
      <c r="E123" s="13" t="n"/>
      <c r="F123" s="12" t="n"/>
      <c r="G123" s="10">
        <f>IF(A123="","",COUNTIF(招式表!$A$2:$A$201,A123))</f>
        <v/>
      </c>
      <c r="H123" s="12" t="n"/>
      <c r="I123" s="12" t="n"/>
      <c r="J123" s="12" t="n"/>
      <c r="K123" s="12" t="n"/>
      <c r="L123" s="13" t="n"/>
      <c r="M123" s="12" t="n"/>
      <c r="N123" s="14" t="n"/>
    </row>
    <row r="124">
      <c r="A124" s="12" t="n"/>
      <c r="B124" s="12" t="n"/>
      <c r="C124" s="12" t="n"/>
      <c r="D124" s="12" t="n"/>
      <c r="E124" s="13" t="n"/>
      <c r="F124" s="12" t="n"/>
      <c r="G124" s="10">
        <f>IF(A124="","",COUNTIF(招式表!$A$2:$A$201,A124))</f>
        <v/>
      </c>
      <c r="H124" s="12" t="n"/>
      <c r="I124" s="12" t="n"/>
      <c r="J124" s="12" t="n"/>
      <c r="K124" s="12" t="n"/>
      <c r="L124" s="13" t="n"/>
      <c r="M124" s="12" t="n"/>
      <c r="N124" s="14" t="n"/>
    </row>
    <row r="125">
      <c r="A125" s="12" t="n"/>
      <c r="B125" s="12" t="n"/>
      <c r="C125" s="12" t="n"/>
      <c r="D125" s="12" t="n"/>
      <c r="E125" s="13" t="n"/>
      <c r="F125" s="12" t="n"/>
      <c r="G125" s="10">
        <f>IF(A125="","",COUNTIF(招式表!$A$2:$A$201,A125))</f>
        <v/>
      </c>
      <c r="H125" s="12" t="n"/>
      <c r="I125" s="12" t="n"/>
      <c r="J125" s="12" t="n"/>
      <c r="K125" s="12" t="n"/>
      <c r="L125" s="13" t="n"/>
      <c r="M125" s="12" t="n"/>
      <c r="N125" s="14" t="n"/>
    </row>
    <row r="126">
      <c r="A126" s="12" t="n"/>
      <c r="B126" s="12" t="n"/>
      <c r="C126" s="12" t="n"/>
      <c r="D126" s="12" t="n"/>
      <c r="E126" s="13" t="n"/>
      <c r="F126" s="12" t="n"/>
      <c r="G126" s="10">
        <f>IF(A126="","",COUNTIF(招式表!$A$2:$A$201,A126))</f>
        <v/>
      </c>
      <c r="H126" s="12" t="n"/>
      <c r="I126" s="12" t="n"/>
      <c r="J126" s="12" t="n"/>
      <c r="K126" s="12" t="n"/>
      <c r="L126" s="13" t="n"/>
      <c r="M126" s="12" t="n"/>
      <c r="N126" s="14" t="n"/>
    </row>
    <row r="127">
      <c r="A127" s="12" t="n"/>
      <c r="B127" s="12" t="n"/>
      <c r="C127" s="12" t="n"/>
      <c r="D127" s="12" t="n"/>
      <c r="E127" s="13" t="n"/>
      <c r="F127" s="12" t="n"/>
      <c r="G127" s="10">
        <f>IF(A127="","",COUNTIF(招式表!$A$2:$A$201,A127))</f>
        <v/>
      </c>
      <c r="H127" s="12" t="n"/>
      <c r="I127" s="12" t="n"/>
      <c r="J127" s="12" t="n"/>
      <c r="K127" s="12" t="n"/>
      <c r="L127" s="13" t="n"/>
      <c r="M127" s="12" t="n"/>
      <c r="N127" s="14" t="n"/>
    </row>
    <row r="128">
      <c r="A128" s="12" t="n"/>
      <c r="B128" s="12" t="n"/>
      <c r="C128" s="12" t="n"/>
      <c r="D128" s="12" t="n"/>
      <c r="E128" s="13" t="n"/>
      <c r="F128" s="12" t="n"/>
      <c r="G128" s="10">
        <f>IF(A128="","",COUNTIF(招式表!$A$2:$A$201,A128))</f>
        <v/>
      </c>
      <c r="H128" s="12" t="n"/>
      <c r="I128" s="12" t="n"/>
      <c r="J128" s="12" t="n"/>
      <c r="K128" s="12" t="n"/>
      <c r="L128" s="13" t="n"/>
      <c r="M128" s="12" t="n"/>
      <c r="N128" s="14" t="n"/>
    </row>
    <row r="129">
      <c r="A129" s="12" t="n"/>
      <c r="B129" s="12" t="n"/>
      <c r="C129" s="12" t="n"/>
      <c r="D129" s="12" t="n"/>
      <c r="E129" s="13" t="n"/>
      <c r="F129" s="12" t="n"/>
      <c r="G129" s="10">
        <f>IF(A129="","",COUNTIF(招式表!$A$2:$A$201,A129))</f>
        <v/>
      </c>
      <c r="H129" s="12" t="n"/>
      <c r="I129" s="12" t="n"/>
      <c r="J129" s="12" t="n"/>
      <c r="K129" s="12" t="n"/>
      <c r="L129" s="13" t="n"/>
      <c r="M129" s="12" t="n"/>
      <c r="N129" s="14" t="n"/>
    </row>
    <row r="130">
      <c r="A130" s="12" t="n"/>
      <c r="B130" s="12" t="n"/>
      <c r="C130" s="12" t="n"/>
      <c r="D130" s="12" t="n"/>
      <c r="E130" s="13" t="n"/>
      <c r="F130" s="12" t="n"/>
      <c r="G130" s="10">
        <f>IF(A130="","",COUNTIF(招式表!$A$2:$A$201,A130))</f>
        <v/>
      </c>
      <c r="H130" s="12" t="n"/>
      <c r="I130" s="12" t="n"/>
      <c r="J130" s="12" t="n"/>
      <c r="K130" s="12" t="n"/>
      <c r="L130" s="13" t="n"/>
      <c r="M130" s="12" t="n"/>
      <c r="N130" s="14" t="n"/>
    </row>
    <row r="131">
      <c r="A131" s="12" t="n"/>
      <c r="B131" s="12" t="n"/>
      <c r="C131" s="12" t="n"/>
      <c r="D131" s="12" t="n"/>
      <c r="E131" s="13" t="n"/>
      <c r="F131" s="12" t="n"/>
      <c r="G131" s="10">
        <f>IF(A131="","",COUNTIF(招式表!$A$2:$A$201,A131))</f>
        <v/>
      </c>
      <c r="H131" s="12" t="n"/>
      <c r="I131" s="12" t="n"/>
      <c r="J131" s="12" t="n"/>
      <c r="K131" s="12" t="n"/>
      <c r="L131" s="13" t="n"/>
      <c r="M131" s="12" t="n"/>
      <c r="N131" s="14" t="n"/>
    </row>
    <row r="132">
      <c r="A132" s="12" t="n"/>
      <c r="B132" s="12" t="n"/>
      <c r="C132" s="12" t="n"/>
      <c r="D132" s="12" t="n"/>
      <c r="E132" s="13" t="n"/>
      <c r="F132" s="12" t="n"/>
      <c r="G132" s="10">
        <f>IF(A132="","",COUNTIF(招式表!$A$2:$A$201,A132))</f>
        <v/>
      </c>
      <c r="H132" s="12" t="n"/>
      <c r="I132" s="12" t="n"/>
      <c r="J132" s="12" t="n"/>
      <c r="K132" s="12" t="n"/>
      <c r="L132" s="13" t="n"/>
      <c r="M132" s="12" t="n"/>
      <c r="N132" s="14" t="n"/>
    </row>
    <row r="133">
      <c r="A133" s="12" t="n"/>
      <c r="B133" s="12" t="n"/>
      <c r="C133" s="12" t="n"/>
      <c r="D133" s="12" t="n"/>
      <c r="E133" s="13" t="n"/>
      <c r="F133" s="12" t="n"/>
      <c r="G133" s="10">
        <f>IF(A133="","",COUNTIF(招式表!$A$2:$A$201,A133))</f>
        <v/>
      </c>
      <c r="H133" s="12" t="n"/>
      <c r="I133" s="12" t="n"/>
      <c r="J133" s="12" t="n"/>
      <c r="K133" s="12" t="n"/>
      <c r="L133" s="13" t="n"/>
      <c r="M133" s="12" t="n"/>
      <c r="N133" s="14" t="n"/>
    </row>
    <row r="134">
      <c r="A134" s="12" t="n"/>
      <c r="B134" s="12" t="n"/>
      <c r="C134" s="12" t="n"/>
      <c r="D134" s="12" t="n"/>
      <c r="E134" s="13" t="n"/>
      <c r="F134" s="12" t="n"/>
      <c r="G134" s="10">
        <f>IF(A134="","",COUNTIF(招式表!$A$2:$A$201,A134))</f>
        <v/>
      </c>
      <c r="H134" s="12" t="n"/>
      <c r="I134" s="12" t="n"/>
      <c r="J134" s="12" t="n"/>
      <c r="K134" s="12" t="n"/>
      <c r="L134" s="13" t="n"/>
      <c r="M134" s="12" t="n"/>
      <c r="N134" s="14" t="n"/>
    </row>
    <row r="135">
      <c r="A135" s="12" t="n"/>
      <c r="B135" s="12" t="n"/>
      <c r="C135" s="12" t="n"/>
      <c r="D135" s="12" t="n"/>
      <c r="E135" s="13" t="n"/>
      <c r="F135" s="12" t="n"/>
      <c r="G135" s="10">
        <f>IF(A135="","",COUNTIF(招式表!$A$2:$A$201,A135))</f>
        <v/>
      </c>
      <c r="H135" s="12" t="n"/>
      <c r="I135" s="12" t="n"/>
      <c r="J135" s="12" t="n"/>
      <c r="K135" s="12" t="n"/>
      <c r="L135" s="13" t="n"/>
      <c r="M135" s="12" t="n"/>
      <c r="N135" s="14" t="n"/>
    </row>
    <row r="136">
      <c r="A136" s="12" t="n"/>
      <c r="B136" s="12" t="n"/>
      <c r="C136" s="12" t="n"/>
      <c r="D136" s="12" t="n"/>
      <c r="E136" s="13" t="n"/>
      <c r="F136" s="12" t="n"/>
      <c r="G136" s="10">
        <f>IF(A136="","",COUNTIF(招式表!$A$2:$A$201,A136))</f>
        <v/>
      </c>
      <c r="H136" s="12" t="n"/>
      <c r="I136" s="12" t="n"/>
      <c r="J136" s="12" t="n"/>
      <c r="K136" s="12" t="n"/>
      <c r="L136" s="13" t="n"/>
      <c r="M136" s="12" t="n"/>
      <c r="N136" s="14" t="n"/>
    </row>
    <row r="137">
      <c r="A137" s="12" t="n"/>
      <c r="B137" s="12" t="n"/>
      <c r="C137" s="12" t="n"/>
      <c r="D137" s="12" t="n"/>
      <c r="E137" s="13" t="n"/>
      <c r="F137" s="12" t="n"/>
      <c r="G137" s="10">
        <f>IF(A137="","",COUNTIF(招式表!$A$2:$A$201,A137))</f>
        <v/>
      </c>
      <c r="H137" s="12" t="n"/>
      <c r="I137" s="12" t="n"/>
      <c r="J137" s="12" t="n"/>
      <c r="K137" s="12" t="n"/>
      <c r="L137" s="13" t="n"/>
      <c r="M137" s="12" t="n"/>
      <c r="N137" s="14" t="n"/>
    </row>
    <row r="138">
      <c r="A138" s="12" t="n"/>
      <c r="B138" s="12" t="n"/>
      <c r="C138" s="12" t="n"/>
      <c r="D138" s="12" t="n"/>
      <c r="E138" s="13" t="n"/>
      <c r="F138" s="12" t="n"/>
      <c r="G138" s="10">
        <f>IF(A138="","",COUNTIF(招式表!$A$2:$A$201,A138))</f>
        <v/>
      </c>
      <c r="H138" s="12" t="n"/>
      <c r="I138" s="12" t="n"/>
      <c r="J138" s="12" t="n"/>
      <c r="K138" s="12" t="n"/>
      <c r="L138" s="13" t="n"/>
      <c r="M138" s="12" t="n"/>
      <c r="N138" s="14" t="n"/>
    </row>
    <row r="139">
      <c r="A139" s="12" t="n"/>
      <c r="B139" s="12" t="n"/>
      <c r="C139" s="12" t="n"/>
      <c r="D139" s="12" t="n"/>
      <c r="E139" s="13" t="n"/>
      <c r="F139" s="12" t="n"/>
      <c r="G139" s="10">
        <f>IF(A139="","",COUNTIF(招式表!$A$2:$A$201,A139))</f>
        <v/>
      </c>
      <c r="H139" s="12" t="n"/>
      <c r="I139" s="12" t="n"/>
      <c r="J139" s="12" t="n"/>
      <c r="K139" s="12" t="n"/>
      <c r="L139" s="13" t="n"/>
      <c r="M139" s="12" t="n"/>
      <c r="N139" s="14" t="n"/>
    </row>
    <row r="140">
      <c r="A140" s="12" t="n"/>
      <c r="B140" s="12" t="n"/>
      <c r="C140" s="12" t="n"/>
      <c r="D140" s="12" t="n"/>
      <c r="E140" s="13" t="n"/>
      <c r="F140" s="12" t="n"/>
      <c r="G140" s="10">
        <f>IF(A140="","",COUNTIF(招式表!$A$2:$A$201,A140))</f>
        <v/>
      </c>
      <c r="H140" s="12" t="n"/>
      <c r="I140" s="12" t="n"/>
      <c r="J140" s="12" t="n"/>
      <c r="K140" s="12" t="n"/>
      <c r="L140" s="13" t="n"/>
      <c r="M140" s="12" t="n"/>
      <c r="N140" s="14" t="n"/>
    </row>
    <row r="141">
      <c r="A141" s="12" t="n"/>
      <c r="B141" s="12" t="n"/>
      <c r="C141" s="12" t="n"/>
      <c r="D141" s="12" t="n"/>
      <c r="E141" s="13" t="n"/>
      <c r="F141" s="12" t="n"/>
      <c r="G141" s="10">
        <f>IF(A141="","",COUNTIF(招式表!$A$2:$A$201,A141))</f>
        <v/>
      </c>
      <c r="H141" s="12" t="n"/>
      <c r="I141" s="12" t="n"/>
      <c r="J141" s="12" t="n"/>
      <c r="K141" s="12" t="n"/>
      <c r="L141" s="13" t="n"/>
      <c r="M141" s="12" t="n"/>
      <c r="N141" s="14" t="n"/>
    </row>
    <row r="142">
      <c r="A142" s="12" t="n"/>
      <c r="B142" s="12" t="n"/>
      <c r="C142" s="12" t="n"/>
      <c r="D142" s="12" t="n"/>
      <c r="E142" s="13" t="n"/>
      <c r="F142" s="12" t="n"/>
      <c r="G142" s="10">
        <f>IF(A142="","",COUNTIF(招式表!$A$2:$A$201,A142))</f>
        <v/>
      </c>
      <c r="H142" s="12" t="n"/>
      <c r="I142" s="12" t="n"/>
      <c r="J142" s="12" t="n"/>
      <c r="K142" s="12" t="n"/>
      <c r="L142" s="13" t="n"/>
      <c r="M142" s="12" t="n"/>
      <c r="N142" s="14" t="n"/>
    </row>
    <row r="143">
      <c r="A143" s="12" t="n"/>
      <c r="B143" s="12" t="n"/>
      <c r="C143" s="12" t="n"/>
      <c r="D143" s="12" t="n"/>
      <c r="E143" s="13" t="n"/>
      <c r="F143" s="12" t="n"/>
      <c r="G143" s="10">
        <f>IF(A143="","",COUNTIF(招式表!$A$2:$A$201,A143))</f>
        <v/>
      </c>
      <c r="H143" s="12" t="n"/>
      <c r="I143" s="12" t="n"/>
      <c r="J143" s="12" t="n"/>
      <c r="K143" s="12" t="n"/>
      <c r="L143" s="13" t="n"/>
      <c r="M143" s="12" t="n"/>
      <c r="N143" s="14" t="n"/>
    </row>
    <row r="144">
      <c r="A144" s="12" t="n"/>
      <c r="B144" s="12" t="n"/>
      <c r="C144" s="12" t="n"/>
      <c r="D144" s="12" t="n"/>
      <c r="E144" s="13" t="n"/>
      <c r="F144" s="12" t="n"/>
      <c r="G144" s="10">
        <f>IF(A144="","",COUNTIF(招式表!$A$2:$A$201,A144))</f>
        <v/>
      </c>
      <c r="H144" s="12" t="n"/>
      <c r="I144" s="12" t="n"/>
      <c r="J144" s="12" t="n"/>
      <c r="K144" s="12" t="n"/>
      <c r="L144" s="13" t="n"/>
      <c r="M144" s="12" t="n"/>
      <c r="N144" s="14" t="n"/>
    </row>
    <row r="145">
      <c r="A145" s="12" t="n"/>
      <c r="B145" s="12" t="n"/>
      <c r="C145" s="12" t="n"/>
      <c r="D145" s="12" t="n"/>
      <c r="E145" s="13" t="n"/>
      <c r="F145" s="12" t="n"/>
      <c r="G145" s="10">
        <f>IF(A145="","",COUNTIF(招式表!$A$2:$A$201,A145))</f>
        <v/>
      </c>
      <c r="H145" s="12" t="n"/>
      <c r="I145" s="12" t="n"/>
      <c r="J145" s="12" t="n"/>
      <c r="K145" s="12" t="n"/>
      <c r="L145" s="13" t="n"/>
      <c r="M145" s="12" t="n"/>
      <c r="N145" s="14" t="n"/>
    </row>
    <row r="146">
      <c r="A146" s="12" t="n"/>
      <c r="B146" s="12" t="n"/>
      <c r="C146" s="12" t="n"/>
      <c r="D146" s="12" t="n"/>
      <c r="E146" s="13" t="n"/>
      <c r="F146" s="12" t="n"/>
      <c r="G146" s="10">
        <f>IF(A146="","",COUNTIF(招式表!$A$2:$A$201,A146))</f>
        <v/>
      </c>
      <c r="H146" s="12" t="n"/>
      <c r="I146" s="12" t="n"/>
      <c r="J146" s="12" t="n"/>
      <c r="K146" s="12" t="n"/>
      <c r="L146" s="13" t="n"/>
      <c r="M146" s="12" t="n"/>
      <c r="N146" s="14" t="n"/>
    </row>
    <row r="147">
      <c r="A147" s="12" t="n"/>
      <c r="B147" s="12" t="n"/>
      <c r="C147" s="12" t="n"/>
      <c r="D147" s="12" t="n"/>
      <c r="E147" s="13" t="n"/>
      <c r="F147" s="12" t="n"/>
      <c r="G147" s="10">
        <f>IF(A147="","",COUNTIF(招式表!$A$2:$A$201,A147))</f>
        <v/>
      </c>
      <c r="H147" s="12" t="n"/>
      <c r="I147" s="12" t="n"/>
      <c r="J147" s="12" t="n"/>
      <c r="K147" s="12" t="n"/>
      <c r="L147" s="13" t="n"/>
      <c r="M147" s="12" t="n"/>
      <c r="N147" s="14" t="n"/>
    </row>
    <row r="148">
      <c r="A148" s="12" t="n"/>
      <c r="B148" s="12" t="n"/>
      <c r="C148" s="12" t="n"/>
      <c r="D148" s="12" t="n"/>
      <c r="E148" s="13" t="n"/>
      <c r="F148" s="12" t="n"/>
      <c r="G148" s="10">
        <f>IF(A148="","",COUNTIF(招式表!$A$2:$A$201,A148))</f>
        <v/>
      </c>
      <c r="H148" s="12" t="n"/>
      <c r="I148" s="12" t="n"/>
      <c r="J148" s="12" t="n"/>
      <c r="K148" s="12" t="n"/>
      <c r="L148" s="13" t="n"/>
      <c r="M148" s="12" t="n"/>
      <c r="N148" s="14" t="n"/>
    </row>
    <row r="149">
      <c r="A149" s="12" t="n"/>
      <c r="B149" s="12" t="n"/>
      <c r="C149" s="12" t="n"/>
      <c r="D149" s="12" t="n"/>
      <c r="E149" s="13" t="n"/>
      <c r="F149" s="12" t="n"/>
      <c r="G149" s="10">
        <f>IF(A149="","",COUNTIF(招式表!$A$2:$A$201,A149))</f>
        <v/>
      </c>
      <c r="H149" s="12" t="n"/>
      <c r="I149" s="12" t="n"/>
      <c r="J149" s="12" t="n"/>
      <c r="K149" s="12" t="n"/>
      <c r="L149" s="13" t="n"/>
      <c r="M149" s="12" t="n"/>
      <c r="N149" s="14" t="n"/>
    </row>
    <row r="150">
      <c r="A150" s="12" t="n"/>
      <c r="B150" s="12" t="n"/>
      <c r="C150" s="12" t="n"/>
      <c r="D150" s="12" t="n"/>
      <c r="E150" s="13" t="n"/>
      <c r="F150" s="12" t="n"/>
      <c r="G150" s="10">
        <f>IF(A150="","",COUNTIF(招式表!$A$2:$A$201,A150))</f>
        <v/>
      </c>
      <c r="H150" s="12" t="n"/>
      <c r="I150" s="12" t="n"/>
      <c r="J150" s="12" t="n"/>
      <c r="K150" s="12" t="n"/>
      <c r="L150" s="13" t="n"/>
      <c r="M150" s="12" t="n"/>
      <c r="N150" s="14" t="n"/>
    </row>
    <row r="151">
      <c r="A151" s="12" t="n"/>
      <c r="B151" s="12" t="n"/>
      <c r="C151" s="12" t="n"/>
      <c r="D151" s="12" t="n"/>
      <c r="E151" s="13" t="n"/>
      <c r="F151" s="12" t="n"/>
      <c r="G151" s="10">
        <f>IF(A151="","",COUNTIF(招式表!$A$2:$A$201,A151))</f>
        <v/>
      </c>
      <c r="H151" s="12" t="n"/>
      <c r="I151" s="12" t="n"/>
      <c r="J151" s="12" t="n"/>
      <c r="K151" s="12" t="n"/>
      <c r="L151" s="13" t="n"/>
      <c r="M151" s="12" t="n"/>
      <c r="N151" s="14" t="n"/>
    </row>
    <row r="152">
      <c r="A152" s="12" t="n"/>
      <c r="B152" s="12" t="n"/>
      <c r="C152" s="12" t="n"/>
      <c r="D152" s="12" t="n"/>
      <c r="E152" s="13" t="n"/>
      <c r="F152" s="12" t="n"/>
      <c r="G152" s="10">
        <f>IF(A152="","",COUNTIF(招式表!$A$2:$A$201,A152))</f>
        <v/>
      </c>
      <c r="H152" s="12" t="n"/>
      <c r="I152" s="12" t="n"/>
      <c r="J152" s="12" t="n"/>
      <c r="K152" s="12" t="n"/>
      <c r="L152" s="13" t="n"/>
      <c r="M152" s="12" t="n"/>
      <c r="N152" s="14" t="n"/>
    </row>
    <row r="153">
      <c r="A153" s="12" t="n"/>
      <c r="B153" s="12" t="n"/>
      <c r="C153" s="12" t="n"/>
      <c r="D153" s="12" t="n"/>
      <c r="E153" s="13" t="n"/>
      <c r="F153" s="12" t="n"/>
      <c r="G153" s="10">
        <f>IF(A153="","",COUNTIF(招式表!$A$2:$A$201,A153))</f>
        <v/>
      </c>
      <c r="H153" s="12" t="n"/>
      <c r="I153" s="12" t="n"/>
      <c r="J153" s="12" t="n"/>
      <c r="K153" s="12" t="n"/>
      <c r="L153" s="13" t="n"/>
      <c r="M153" s="12" t="n"/>
      <c r="N153" s="14" t="n"/>
    </row>
    <row r="154">
      <c r="A154" s="12" t="n"/>
      <c r="B154" s="12" t="n"/>
      <c r="C154" s="12" t="n"/>
      <c r="D154" s="12" t="n"/>
      <c r="E154" s="13" t="n"/>
      <c r="F154" s="12" t="n"/>
      <c r="G154" s="10">
        <f>IF(A154="","",COUNTIF(招式表!$A$2:$A$201,A154))</f>
        <v/>
      </c>
      <c r="H154" s="12" t="n"/>
      <c r="I154" s="12" t="n"/>
      <c r="J154" s="12" t="n"/>
      <c r="K154" s="12" t="n"/>
      <c r="L154" s="13" t="n"/>
      <c r="M154" s="12" t="n"/>
      <c r="N154" s="14" t="n"/>
    </row>
    <row r="155">
      <c r="A155" s="12" t="n"/>
      <c r="B155" s="12" t="n"/>
      <c r="C155" s="12" t="n"/>
      <c r="D155" s="12" t="n"/>
      <c r="E155" s="13" t="n"/>
      <c r="F155" s="12" t="n"/>
      <c r="G155" s="10">
        <f>IF(A155="","",COUNTIF(招式表!$A$2:$A$201,A155))</f>
        <v/>
      </c>
      <c r="H155" s="12" t="n"/>
      <c r="I155" s="12" t="n"/>
      <c r="J155" s="12" t="n"/>
      <c r="K155" s="12" t="n"/>
      <c r="L155" s="13" t="n"/>
      <c r="M155" s="12" t="n"/>
      <c r="N155" s="14" t="n"/>
    </row>
    <row r="156">
      <c r="A156" s="12" t="n"/>
      <c r="B156" s="12" t="n"/>
      <c r="C156" s="12" t="n"/>
      <c r="D156" s="12" t="n"/>
      <c r="E156" s="13" t="n"/>
      <c r="F156" s="12" t="n"/>
      <c r="G156" s="10">
        <f>IF(A156="","",COUNTIF(招式表!$A$2:$A$201,A156))</f>
        <v/>
      </c>
      <c r="H156" s="12" t="n"/>
      <c r="I156" s="12" t="n"/>
      <c r="J156" s="12" t="n"/>
      <c r="K156" s="12" t="n"/>
      <c r="L156" s="13" t="n"/>
      <c r="M156" s="12" t="n"/>
      <c r="N156" s="14" t="n"/>
    </row>
    <row r="157">
      <c r="A157" s="12" t="n"/>
      <c r="B157" s="12" t="n"/>
      <c r="C157" s="12" t="n"/>
      <c r="D157" s="12" t="n"/>
      <c r="E157" s="13" t="n"/>
      <c r="F157" s="12" t="n"/>
      <c r="G157" s="10">
        <f>IF(A157="","",COUNTIF(招式表!$A$2:$A$201,A157))</f>
        <v/>
      </c>
      <c r="H157" s="12" t="n"/>
      <c r="I157" s="12" t="n"/>
      <c r="J157" s="12" t="n"/>
      <c r="K157" s="12" t="n"/>
      <c r="L157" s="13" t="n"/>
      <c r="M157" s="12" t="n"/>
      <c r="N157" s="14" t="n"/>
    </row>
    <row r="158">
      <c r="A158" s="12" t="n"/>
      <c r="B158" s="12" t="n"/>
      <c r="C158" s="12" t="n"/>
      <c r="D158" s="12" t="n"/>
      <c r="E158" s="13" t="n"/>
      <c r="F158" s="12" t="n"/>
      <c r="G158" s="10">
        <f>IF(A158="","",COUNTIF(招式表!$A$2:$A$201,A158))</f>
        <v/>
      </c>
      <c r="H158" s="12" t="n"/>
      <c r="I158" s="12" t="n"/>
      <c r="J158" s="12" t="n"/>
      <c r="K158" s="12" t="n"/>
      <c r="L158" s="13" t="n"/>
      <c r="M158" s="12" t="n"/>
      <c r="N158" s="14" t="n"/>
    </row>
    <row r="159">
      <c r="A159" s="12" t="n"/>
      <c r="B159" s="12" t="n"/>
      <c r="C159" s="12" t="n"/>
      <c r="D159" s="12" t="n"/>
      <c r="E159" s="13" t="n"/>
      <c r="F159" s="12" t="n"/>
      <c r="G159" s="10">
        <f>IF(A159="","",COUNTIF(招式表!$A$2:$A$201,A159))</f>
        <v/>
      </c>
      <c r="H159" s="12" t="n"/>
      <c r="I159" s="12" t="n"/>
      <c r="J159" s="12" t="n"/>
      <c r="K159" s="12" t="n"/>
      <c r="L159" s="13" t="n"/>
      <c r="M159" s="12" t="n"/>
      <c r="N159" s="14" t="n"/>
    </row>
    <row r="160">
      <c r="A160" s="12" t="n"/>
      <c r="B160" s="12" t="n"/>
      <c r="C160" s="12" t="n"/>
      <c r="D160" s="12" t="n"/>
      <c r="E160" s="13" t="n"/>
      <c r="F160" s="12" t="n"/>
      <c r="G160" s="10">
        <f>IF(A160="","",COUNTIF(招式表!$A$2:$A$201,A160))</f>
        <v/>
      </c>
      <c r="H160" s="12" t="n"/>
      <c r="I160" s="12" t="n"/>
      <c r="J160" s="12" t="n"/>
      <c r="K160" s="12" t="n"/>
      <c r="L160" s="13" t="n"/>
      <c r="M160" s="12" t="n"/>
      <c r="N160" s="14" t="n"/>
    </row>
    <row r="161">
      <c r="A161" s="12" t="n"/>
      <c r="B161" s="12" t="n"/>
      <c r="C161" s="12" t="n"/>
      <c r="D161" s="12" t="n"/>
      <c r="E161" s="13" t="n"/>
      <c r="F161" s="12" t="n"/>
      <c r="G161" s="10">
        <f>IF(A161="","",COUNTIF(招式表!$A$2:$A$201,A161))</f>
        <v/>
      </c>
      <c r="H161" s="12" t="n"/>
      <c r="I161" s="12" t="n"/>
      <c r="J161" s="12" t="n"/>
      <c r="K161" s="12" t="n"/>
      <c r="L161" s="13" t="n"/>
      <c r="M161" s="12" t="n"/>
      <c r="N161" s="14" t="n"/>
    </row>
    <row r="162">
      <c r="A162" s="12" t="n"/>
      <c r="B162" s="12" t="n"/>
      <c r="C162" s="12" t="n"/>
      <c r="D162" s="12" t="n"/>
      <c r="E162" s="13" t="n"/>
      <c r="F162" s="12" t="n"/>
      <c r="G162" s="10">
        <f>IF(A162="","",COUNTIF(招式表!$A$2:$A$201,A162))</f>
        <v/>
      </c>
      <c r="H162" s="12" t="n"/>
      <c r="I162" s="12" t="n"/>
      <c r="J162" s="12" t="n"/>
      <c r="K162" s="12" t="n"/>
      <c r="L162" s="13" t="n"/>
      <c r="M162" s="12" t="n"/>
      <c r="N162" s="14" t="n"/>
    </row>
    <row r="163">
      <c r="A163" s="12" t="n"/>
      <c r="B163" s="12" t="n"/>
      <c r="C163" s="12" t="n"/>
      <c r="D163" s="12" t="n"/>
      <c r="E163" s="13" t="n"/>
      <c r="F163" s="12" t="n"/>
      <c r="G163" s="10">
        <f>IF(A163="","",COUNTIF(招式表!$A$2:$A$201,A163))</f>
        <v/>
      </c>
      <c r="H163" s="12" t="n"/>
      <c r="I163" s="12" t="n"/>
      <c r="J163" s="12" t="n"/>
      <c r="K163" s="12" t="n"/>
      <c r="L163" s="13" t="n"/>
      <c r="M163" s="12" t="n"/>
      <c r="N163" s="14" t="n"/>
    </row>
    <row r="164">
      <c r="A164" s="12" t="n"/>
      <c r="B164" s="12" t="n"/>
      <c r="C164" s="12" t="n"/>
      <c r="D164" s="12" t="n"/>
      <c r="E164" s="13" t="n"/>
      <c r="F164" s="12" t="n"/>
      <c r="G164" s="10">
        <f>IF(A164="","",COUNTIF(招式表!$A$2:$A$201,A164))</f>
        <v/>
      </c>
      <c r="H164" s="12" t="n"/>
      <c r="I164" s="12" t="n"/>
      <c r="J164" s="12" t="n"/>
      <c r="K164" s="12" t="n"/>
      <c r="L164" s="13" t="n"/>
      <c r="M164" s="12" t="n"/>
      <c r="N164" s="14" t="n"/>
    </row>
    <row r="165">
      <c r="A165" s="12" t="n"/>
      <c r="B165" s="12" t="n"/>
      <c r="C165" s="12" t="n"/>
      <c r="D165" s="12" t="n"/>
      <c r="E165" s="13" t="n"/>
      <c r="F165" s="12" t="n"/>
      <c r="G165" s="10">
        <f>IF(A165="","",COUNTIF(招式表!$A$2:$A$201,A165))</f>
        <v/>
      </c>
      <c r="H165" s="12" t="n"/>
      <c r="I165" s="12" t="n"/>
      <c r="J165" s="12" t="n"/>
      <c r="K165" s="12" t="n"/>
      <c r="L165" s="13" t="n"/>
      <c r="M165" s="12" t="n"/>
      <c r="N165" s="14" t="n"/>
    </row>
    <row r="166">
      <c r="A166" s="12" t="n"/>
      <c r="B166" s="12" t="n"/>
      <c r="C166" s="12" t="n"/>
      <c r="D166" s="12" t="n"/>
      <c r="E166" s="13" t="n"/>
      <c r="F166" s="12" t="n"/>
      <c r="G166" s="10">
        <f>IF(A166="","",COUNTIF(招式表!$A$2:$A$201,A166))</f>
        <v/>
      </c>
      <c r="H166" s="12" t="n"/>
      <c r="I166" s="12" t="n"/>
      <c r="J166" s="12" t="n"/>
      <c r="K166" s="12" t="n"/>
      <c r="L166" s="13" t="n"/>
      <c r="M166" s="12" t="n"/>
      <c r="N166" s="14" t="n"/>
    </row>
    <row r="167">
      <c r="A167" s="12" t="n"/>
      <c r="B167" s="12" t="n"/>
      <c r="C167" s="12" t="n"/>
      <c r="D167" s="12" t="n"/>
      <c r="E167" s="13" t="n"/>
      <c r="F167" s="12" t="n"/>
      <c r="G167" s="10">
        <f>IF(A167="","",COUNTIF(招式表!$A$2:$A$201,A167))</f>
        <v/>
      </c>
      <c r="H167" s="12" t="n"/>
      <c r="I167" s="12" t="n"/>
      <c r="J167" s="12" t="n"/>
      <c r="K167" s="12" t="n"/>
      <c r="L167" s="13" t="n"/>
      <c r="M167" s="12" t="n"/>
      <c r="N167" s="14" t="n"/>
    </row>
    <row r="168">
      <c r="A168" s="12" t="n"/>
      <c r="B168" s="12" t="n"/>
      <c r="C168" s="12" t="n"/>
      <c r="D168" s="12" t="n"/>
      <c r="E168" s="13" t="n"/>
      <c r="F168" s="12" t="n"/>
      <c r="G168" s="10">
        <f>IF(A168="","",COUNTIF(招式表!$A$2:$A$201,A168))</f>
        <v/>
      </c>
      <c r="H168" s="12" t="n"/>
      <c r="I168" s="12" t="n"/>
      <c r="J168" s="12" t="n"/>
      <c r="K168" s="12" t="n"/>
      <c r="L168" s="13" t="n"/>
      <c r="M168" s="12" t="n"/>
      <c r="N168" s="14" t="n"/>
    </row>
    <row r="169">
      <c r="A169" s="12" t="n"/>
      <c r="B169" s="12" t="n"/>
      <c r="C169" s="12" t="n"/>
      <c r="D169" s="12" t="n"/>
      <c r="E169" s="13" t="n"/>
      <c r="F169" s="12" t="n"/>
      <c r="G169" s="10">
        <f>IF(A169="","",COUNTIF(招式表!$A$2:$A$201,A169))</f>
        <v/>
      </c>
      <c r="H169" s="12" t="n"/>
      <c r="I169" s="12" t="n"/>
      <c r="J169" s="12" t="n"/>
      <c r="K169" s="12" t="n"/>
      <c r="L169" s="13" t="n"/>
      <c r="M169" s="12" t="n"/>
      <c r="N169" s="14" t="n"/>
    </row>
    <row r="170">
      <c r="A170" s="12" t="n"/>
      <c r="B170" s="12" t="n"/>
      <c r="C170" s="12" t="n"/>
      <c r="D170" s="12" t="n"/>
      <c r="E170" s="13" t="n"/>
      <c r="F170" s="12" t="n"/>
      <c r="G170" s="10">
        <f>IF(A170="","",COUNTIF(招式表!$A$2:$A$201,A170))</f>
        <v/>
      </c>
      <c r="H170" s="12" t="n"/>
      <c r="I170" s="12" t="n"/>
      <c r="J170" s="12" t="n"/>
      <c r="K170" s="12" t="n"/>
      <c r="L170" s="13" t="n"/>
      <c r="M170" s="12" t="n"/>
      <c r="N170" s="14" t="n"/>
    </row>
    <row r="171">
      <c r="A171" s="12" t="n"/>
      <c r="B171" s="12" t="n"/>
      <c r="C171" s="12" t="n"/>
      <c r="D171" s="12" t="n"/>
      <c r="E171" s="13" t="n"/>
      <c r="F171" s="12" t="n"/>
      <c r="G171" s="10">
        <f>IF(A171="","",COUNTIF(招式表!$A$2:$A$201,A171))</f>
        <v/>
      </c>
      <c r="H171" s="12" t="n"/>
      <c r="I171" s="12" t="n"/>
      <c r="J171" s="12" t="n"/>
      <c r="K171" s="12" t="n"/>
      <c r="L171" s="13" t="n"/>
      <c r="M171" s="12" t="n"/>
      <c r="N171" s="14" t="n"/>
    </row>
    <row r="172">
      <c r="A172" s="12" t="n"/>
      <c r="B172" s="12" t="n"/>
      <c r="C172" s="12" t="n"/>
      <c r="D172" s="12" t="n"/>
      <c r="E172" s="13" t="n"/>
      <c r="F172" s="12" t="n"/>
      <c r="G172" s="10">
        <f>IF(A172="","",COUNTIF(招式表!$A$2:$A$201,A172))</f>
        <v/>
      </c>
      <c r="H172" s="12" t="n"/>
      <c r="I172" s="12" t="n"/>
      <c r="J172" s="12" t="n"/>
      <c r="K172" s="12" t="n"/>
      <c r="L172" s="13" t="n"/>
      <c r="M172" s="12" t="n"/>
      <c r="N172" s="14" t="n"/>
    </row>
    <row r="173">
      <c r="A173" s="12" t="n"/>
      <c r="B173" s="12" t="n"/>
      <c r="C173" s="12" t="n"/>
      <c r="D173" s="12" t="n"/>
      <c r="E173" s="13" t="n"/>
      <c r="F173" s="12" t="n"/>
      <c r="G173" s="10">
        <f>IF(A173="","",COUNTIF(招式表!$A$2:$A$201,A173))</f>
        <v/>
      </c>
      <c r="H173" s="12" t="n"/>
      <c r="I173" s="12" t="n"/>
      <c r="J173" s="12" t="n"/>
      <c r="K173" s="12" t="n"/>
      <c r="L173" s="13" t="n"/>
      <c r="M173" s="12" t="n"/>
      <c r="N173" s="14" t="n"/>
    </row>
    <row r="174">
      <c r="A174" s="12" t="n"/>
      <c r="B174" s="12" t="n"/>
      <c r="C174" s="12" t="n"/>
      <c r="D174" s="12" t="n"/>
      <c r="E174" s="13" t="n"/>
      <c r="F174" s="12" t="n"/>
      <c r="G174" s="10">
        <f>IF(A174="","",COUNTIF(招式表!$A$2:$A$201,A174))</f>
        <v/>
      </c>
      <c r="H174" s="12" t="n"/>
      <c r="I174" s="12" t="n"/>
      <c r="J174" s="12" t="n"/>
      <c r="K174" s="12" t="n"/>
      <c r="L174" s="13" t="n"/>
      <c r="M174" s="12" t="n"/>
      <c r="N174" s="14" t="n"/>
    </row>
    <row r="175">
      <c r="A175" s="12" t="n"/>
      <c r="B175" s="12" t="n"/>
      <c r="C175" s="12" t="n"/>
      <c r="D175" s="12" t="n"/>
      <c r="E175" s="13" t="n"/>
      <c r="F175" s="12" t="n"/>
      <c r="G175" s="10">
        <f>IF(A175="","",COUNTIF(招式表!$A$2:$A$201,A175))</f>
        <v/>
      </c>
      <c r="H175" s="12" t="n"/>
      <c r="I175" s="12" t="n"/>
      <c r="J175" s="12" t="n"/>
      <c r="K175" s="12" t="n"/>
      <c r="L175" s="13" t="n"/>
      <c r="M175" s="12" t="n"/>
      <c r="N175" s="14" t="n"/>
    </row>
    <row r="176">
      <c r="A176" s="12" t="n"/>
      <c r="B176" s="12" t="n"/>
      <c r="C176" s="12" t="n"/>
      <c r="D176" s="12" t="n"/>
      <c r="E176" s="13" t="n"/>
      <c r="F176" s="12" t="n"/>
      <c r="G176" s="10">
        <f>IF(A176="","",COUNTIF(招式表!$A$2:$A$201,A176))</f>
        <v/>
      </c>
      <c r="H176" s="12" t="n"/>
      <c r="I176" s="12" t="n"/>
      <c r="J176" s="12" t="n"/>
      <c r="K176" s="12" t="n"/>
      <c r="L176" s="13" t="n"/>
      <c r="M176" s="12" t="n"/>
      <c r="N176" s="14" t="n"/>
    </row>
    <row r="177">
      <c r="A177" s="12" t="n"/>
      <c r="B177" s="12" t="n"/>
      <c r="C177" s="12" t="n"/>
      <c r="D177" s="12" t="n"/>
      <c r="E177" s="13" t="n"/>
      <c r="F177" s="12" t="n"/>
      <c r="G177" s="10">
        <f>IF(A177="","",COUNTIF(招式表!$A$2:$A$201,A177))</f>
        <v/>
      </c>
      <c r="H177" s="12" t="n"/>
      <c r="I177" s="12" t="n"/>
      <c r="J177" s="12" t="n"/>
      <c r="K177" s="12" t="n"/>
      <c r="L177" s="13" t="n"/>
      <c r="M177" s="12" t="n"/>
      <c r="N177" s="14" t="n"/>
    </row>
    <row r="178">
      <c r="A178" s="12" t="n"/>
      <c r="B178" s="12" t="n"/>
      <c r="C178" s="12" t="n"/>
      <c r="D178" s="12" t="n"/>
      <c r="E178" s="13" t="n"/>
      <c r="F178" s="12" t="n"/>
      <c r="G178" s="10">
        <f>IF(A178="","",COUNTIF(招式表!$A$2:$A$201,A178))</f>
        <v/>
      </c>
      <c r="H178" s="12" t="n"/>
      <c r="I178" s="12" t="n"/>
      <c r="J178" s="12" t="n"/>
      <c r="K178" s="12" t="n"/>
      <c r="L178" s="13" t="n"/>
      <c r="M178" s="12" t="n"/>
      <c r="N178" s="14" t="n"/>
    </row>
    <row r="179">
      <c r="A179" s="12" t="n"/>
      <c r="B179" s="12" t="n"/>
      <c r="C179" s="12" t="n"/>
      <c r="D179" s="12" t="n"/>
      <c r="E179" s="13" t="n"/>
      <c r="F179" s="12" t="n"/>
      <c r="G179" s="10">
        <f>IF(A179="","",COUNTIF(招式表!$A$2:$A$201,A179))</f>
        <v/>
      </c>
      <c r="H179" s="12" t="n"/>
      <c r="I179" s="12" t="n"/>
      <c r="J179" s="12" t="n"/>
      <c r="K179" s="12" t="n"/>
      <c r="L179" s="13" t="n"/>
      <c r="M179" s="12" t="n"/>
      <c r="N179" s="14" t="n"/>
    </row>
    <row r="180">
      <c r="A180" s="12" t="n"/>
      <c r="B180" s="12" t="n"/>
      <c r="C180" s="12" t="n"/>
      <c r="D180" s="12" t="n"/>
      <c r="E180" s="13" t="n"/>
      <c r="F180" s="12" t="n"/>
      <c r="G180" s="10">
        <f>IF(A180="","",COUNTIF(招式表!$A$2:$A$201,A180))</f>
        <v/>
      </c>
      <c r="H180" s="12" t="n"/>
      <c r="I180" s="12" t="n"/>
      <c r="J180" s="12" t="n"/>
      <c r="K180" s="12" t="n"/>
      <c r="L180" s="13" t="n"/>
      <c r="M180" s="12" t="n"/>
      <c r="N180" s="14" t="n"/>
    </row>
    <row r="181">
      <c r="A181" s="12" t="n"/>
      <c r="B181" s="12" t="n"/>
      <c r="C181" s="12" t="n"/>
      <c r="D181" s="12" t="n"/>
      <c r="E181" s="13" t="n"/>
      <c r="F181" s="12" t="n"/>
      <c r="G181" s="10">
        <f>IF(A181="","",COUNTIF(招式表!$A$2:$A$201,A181))</f>
        <v/>
      </c>
      <c r="H181" s="12" t="n"/>
      <c r="I181" s="12" t="n"/>
      <c r="J181" s="12" t="n"/>
      <c r="K181" s="12" t="n"/>
      <c r="L181" s="13" t="n"/>
      <c r="M181" s="12" t="n"/>
      <c r="N181" s="14" t="n"/>
    </row>
    <row r="182">
      <c r="A182" s="12" t="n"/>
      <c r="B182" s="12" t="n"/>
      <c r="C182" s="12" t="n"/>
      <c r="D182" s="12" t="n"/>
      <c r="E182" s="13" t="n"/>
      <c r="F182" s="12" t="n"/>
      <c r="G182" s="10">
        <f>IF(A182="","",COUNTIF(招式表!$A$2:$A$201,A182))</f>
        <v/>
      </c>
      <c r="H182" s="12" t="n"/>
      <c r="I182" s="12" t="n"/>
      <c r="J182" s="12" t="n"/>
      <c r="K182" s="12" t="n"/>
      <c r="L182" s="13" t="n"/>
      <c r="M182" s="12" t="n"/>
      <c r="N182" s="14" t="n"/>
    </row>
    <row r="183">
      <c r="A183" s="12" t="n"/>
      <c r="B183" s="12" t="n"/>
      <c r="C183" s="12" t="n"/>
      <c r="D183" s="12" t="n"/>
      <c r="E183" s="13" t="n"/>
      <c r="F183" s="12" t="n"/>
      <c r="G183" s="10">
        <f>IF(A183="","",COUNTIF(招式表!$A$2:$A$201,A183))</f>
        <v/>
      </c>
      <c r="H183" s="12" t="n"/>
      <c r="I183" s="12" t="n"/>
      <c r="J183" s="12" t="n"/>
      <c r="K183" s="12" t="n"/>
      <c r="L183" s="13" t="n"/>
      <c r="M183" s="12" t="n"/>
      <c r="N183" s="14" t="n"/>
    </row>
    <row r="184">
      <c r="A184" s="12" t="n"/>
      <c r="B184" s="12" t="n"/>
      <c r="C184" s="12" t="n"/>
      <c r="D184" s="12" t="n"/>
      <c r="E184" s="13" t="n"/>
      <c r="F184" s="12" t="n"/>
      <c r="G184" s="10">
        <f>IF(A184="","",COUNTIF(招式表!$A$2:$A$201,A184))</f>
        <v/>
      </c>
      <c r="H184" s="12" t="n"/>
      <c r="I184" s="12" t="n"/>
      <c r="J184" s="12" t="n"/>
      <c r="K184" s="12" t="n"/>
      <c r="L184" s="13" t="n"/>
      <c r="M184" s="12" t="n"/>
      <c r="N184" s="14" t="n"/>
    </row>
    <row r="185">
      <c r="A185" s="12" t="n"/>
      <c r="B185" s="12" t="n"/>
      <c r="C185" s="12" t="n"/>
      <c r="D185" s="12" t="n"/>
      <c r="E185" s="13" t="n"/>
      <c r="F185" s="12" t="n"/>
      <c r="G185" s="10">
        <f>IF(A185="","",COUNTIF(招式表!$A$2:$A$201,A185))</f>
        <v/>
      </c>
      <c r="H185" s="12" t="n"/>
      <c r="I185" s="12" t="n"/>
      <c r="J185" s="12" t="n"/>
      <c r="K185" s="12" t="n"/>
      <c r="L185" s="13" t="n"/>
      <c r="M185" s="12" t="n"/>
      <c r="N185" s="14" t="n"/>
    </row>
    <row r="186">
      <c r="A186" s="12" t="n"/>
      <c r="B186" s="12" t="n"/>
      <c r="C186" s="12" t="n"/>
      <c r="D186" s="12" t="n"/>
      <c r="E186" s="13" t="n"/>
      <c r="F186" s="12" t="n"/>
      <c r="G186" s="10">
        <f>IF(A186="","",COUNTIF(招式表!$A$2:$A$201,A186))</f>
        <v/>
      </c>
      <c r="H186" s="12" t="n"/>
      <c r="I186" s="12" t="n"/>
      <c r="J186" s="12" t="n"/>
      <c r="K186" s="12" t="n"/>
      <c r="L186" s="13" t="n"/>
      <c r="M186" s="12" t="n"/>
      <c r="N186" s="14" t="n"/>
    </row>
    <row r="187">
      <c r="A187" s="12" t="n"/>
      <c r="B187" s="12" t="n"/>
      <c r="C187" s="12" t="n"/>
      <c r="D187" s="12" t="n"/>
      <c r="E187" s="13" t="n"/>
      <c r="F187" s="12" t="n"/>
      <c r="G187" s="10">
        <f>IF(A187="","",COUNTIF(招式表!$A$2:$A$201,A187))</f>
        <v/>
      </c>
      <c r="H187" s="12" t="n"/>
      <c r="I187" s="12" t="n"/>
      <c r="J187" s="12" t="n"/>
      <c r="K187" s="12" t="n"/>
      <c r="L187" s="13" t="n"/>
      <c r="M187" s="12" t="n"/>
      <c r="N187" s="14" t="n"/>
    </row>
    <row r="188">
      <c r="A188" s="12" t="n"/>
      <c r="B188" s="12" t="n"/>
      <c r="C188" s="12" t="n"/>
      <c r="D188" s="12" t="n"/>
      <c r="E188" s="13" t="n"/>
      <c r="F188" s="12" t="n"/>
      <c r="G188" s="10">
        <f>IF(A188="","",COUNTIF(招式表!$A$2:$A$201,A188))</f>
        <v/>
      </c>
      <c r="H188" s="12" t="n"/>
      <c r="I188" s="12" t="n"/>
      <c r="J188" s="12" t="n"/>
      <c r="K188" s="12" t="n"/>
      <c r="L188" s="13" t="n"/>
      <c r="M188" s="12" t="n"/>
      <c r="N188" s="14" t="n"/>
    </row>
    <row r="189">
      <c r="A189" s="12" t="n"/>
      <c r="B189" s="12" t="n"/>
      <c r="C189" s="12" t="n"/>
      <c r="D189" s="12" t="n"/>
      <c r="E189" s="13" t="n"/>
      <c r="F189" s="12" t="n"/>
      <c r="G189" s="10">
        <f>IF(A189="","",COUNTIF(招式表!$A$2:$A$201,A189))</f>
        <v/>
      </c>
      <c r="H189" s="12" t="n"/>
      <c r="I189" s="12" t="n"/>
      <c r="J189" s="12" t="n"/>
      <c r="K189" s="12" t="n"/>
      <c r="L189" s="13" t="n"/>
      <c r="M189" s="12" t="n"/>
      <c r="N189" s="14" t="n"/>
    </row>
    <row r="190">
      <c r="A190" s="12" t="n"/>
      <c r="B190" s="12" t="n"/>
      <c r="C190" s="12" t="n"/>
      <c r="D190" s="12" t="n"/>
      <c r="E190" s="13" t="n"/>
      <c r="F190" s="12" t="n"/>
      <c r="G190" s="10">
        <f>IF(A190="","",COUNTIF(招式表!$A$2:$A$201,A190))</f>
        <v/>
      </c>
      <c r="H190" s="12" t="n"/>
      <c r="I190" s="12" t="n"/>
      <c r="J190" s="12" t="n"/>
      <c r="K190" s="12" t="n"/>
      <c r="L190" s="13" t="n"/>
      <c r="M190" s="12" t="n"/>
      <c r="N190" s="14" t="n"/>
    </row>
    <row r="191">
      <c r="A191" s="12" t="n"/>
      <c r="B191" s="12" t="n"/>
      <c r="C191" s="12" t="n"/>
      <c r="D191" s="12" t="n"/>
      <c r="E191" s="13" t="n"/>
      <c r="F191" s="12" t="n"/>
      <c r="G191" s="10">
        <f>IF(A191="","",COUNTIF(招式表!$A$2:$A$201,A191))</f>
        <v/>
      </c>
      <c r="H191" s="12" t="n"/>
      <c r="I191" s="12" t="n"/>
      <c r="J191" s="12" t="n"/>
      <c r="K191" s="12" t="n"/>
      <c r="L191" s="13" t="n"/>
      <c r="M191" s="12" t="n"/>
      <c r="N191" s="14" t="n"/>
    </row>
    <row r="192">
      <c r="A192" s="12" t="n"/>
      <c r="B192" s="12" t="n"/>
      <c r="C192" s="12" t="n"/>
      <c r="D192" s="12" t="n"/>
      <c r="E192" s="13" t="n"/>
      <c r="F192" s="12" t="n"/>
      <c r="G192" s="10">
        <f>IF(A192="","",COUNTIF(招式表!$A$2:$A$201,A192))</f>
        <v/>
      </c>
      <c r="H192" s="12" t="n"/>
      <c r="I192" s="12" t="n"/>
      <c r="J192" s="12" t="n"/>
      <c r="K192" s="12" t="n"/>
      <c r="L192" s="13" t="n"/>
      <c r="M192" s="12" t="n"/>
      <c r="N192" s="14" t="n"/>
    </row>
    <row r="193">
      <c r="A193" s="12" t="n"/>
      <c r="B193" s="12" t="n"/>
      <c r="C193" s="12" t="n"/>
      <c r="D193" s="12" t="n"/>
      <c r="E193" s="13" t="n"/>
      <c r="F193" s="12" t="n"/>
      <c r="G193" s="10">
        <f>IF(A193="","",COUNTIF(招式表!$A$2:$A$201,A193))</f>
        <v/>
      </c>
      <c r="H193" s="12" t="n"/>
      <c r="I193" s="12" t="n"/>
      <c r="J193" s="12" t="n"/>
      <c r="K193" s="12" t="n"/>
      <c r="L193" s="13" t="n"/>
      <c r="M193" s="12" t="n"/>
      <c r="N193" s="14" t="n"/>
    </row>
    <row r="194">
      <c r="A194" s="12" t="n"/>
      <c r="B194" s="12" t="n"/>
      <c r="C194" s="12" t="n"/>
      <c r="D194" s="12" t="n"/>
      <c r="E194" s="13" t="n"/>
      <c r="F194" s="12" t="n"/>
      <c r="G194" s="10">
        <f>IF(A194="","",COUNTIF(招式表!$A$2:$A$201,A194))</f>
        <v/>
      </c>
      <c r="H194" s="12" t="n"/>
      <c r="I194" s="12" t="n"/>
      <c r="J194" s="12" t="n"/>
      <c r="K194" s="12" t="n"/>
      <c r="L194" s="13" t="n"/>
      <c r="M194" s="12" t="n"/>
      <c r="N194" s="14" t="n"/>
    </row>
    <row r="195">
      <c r="A195" s="12" t="n"/>
      <c r="B195" s="12" t="n"/>
      <c r="C195" s="12" t="n"/>
      <c r="D195" s="12" t="n"/>
      <c r="E195" s="13" t="n"/>
      <c r="F195" s="12" t="n"/>
      <c r="G195" s="10">
        <f>IF(A195="","",COUNTIF(招式表!$A$2:$A$201,A195))</f>
        <v/>
      </c>
      <c r="H195" s="12" t="n"/>
      <c r="I195" s="12" t="n"/>
      <c r="J195" s="12" t="n"/>
      <c r="K195" s="12" t="n"/>
      <c r="L195" s="13" t="n"/>
      <c r="M195" s="12" t="n"/>
      <c r="N195" s="14" t="n"/>
    </row>
    <row r="196">
      <c r="A196" s="12" t="n"/>
      <c r="B196" s="12" t="n"/>
      <c r="C196" s="12" t="n"/>
      <c r="D196" s="12" t="n"/>
      <c r="E196" s="13" t="n"/>
      <c r="F196" s="12" t="n"/>
      <c r="G196" s="10">
        <f>IF(A196="","",COUNTIF(招式表!$A$2:$A$201,A196))</f>
        <v/>
      </c>
      <c r="H196" s="12" t="n"/>
      <c r="I196" s="12" t="n"/>
      <c r="J196" s="12" t="n"/>
      <c r="K196" s="12" t="n"/>
      <c r="L196" s="13" t="n"/>
      <c r="M196" s="12" t="n"/>
      <c r="N196" s="14" t="n"/>
    </row>
    <row r="197">
      <c r="A197" s="12" t="n"/>
      <c r="B197" s="12" t="n"/>
      <c r="C197" s="12" t="n"/>
      <c r="D197" s="12" t="n"/>
      <c r="E197" s="13" t="n"/>
      <c r="F197" s="12" t="n"/>
      <c r="G197" s="10">
        <f>IF(A197="","",COUNTIF(招式表!$A$2:$A$201,A197))</f>
        <v/>
      </c>
      <c r="H197" s="12" t="n"/>
      <c r="I197" s="12" t="n"/>
      <c r="J197" s="12" t="n"/>
      <c r="K197" s="12" t="n"/>
      <c r="L197" s="13" t="n"/>
      <c r="M197" s="12" t="n"/>
      <c r="N197" s="14" t="n"/>
    </row>
    <row r="198">
      <c r="A198" s="12" t="n"/>
      <c r="B198" s="12" t="n"/>
      <c r="C198" s="12" t="n"/>
      <c r="D198" s="12" t="n"/>
      <c r="E198" s="13" t="n"/>
      <c r="F198" s="12" t="n"/>
      <c r="G198" s="10">
        <f>IF(A198="","",COUNTIF(招式表!$A$2:$A$201,A198))</f>
        <v/>
      </c>
      <c r="H198" s="12" t="n"/>
      <c r="I198" s="12" t="n"/>
      <c r="J198" s="12" t="n"/>
      <c r="K198" s="12" t="n"/>
      <c r="L198" s="13" t="n"/>
      <c r="M198" s="12" t="n"/>
      <c r="N198" s="14" t="n"/>
    </row>
    <row r="199">
      <c r="A199" s="12" t="n"/>
      <c r="B199" s="12" t="n"/>
      <c r="C199" s="12" t="n"/>
      <c r="D199" s="12" t="n"/>
      <c r="E199" s="13" t="n"/>
      <c r="F199" s="12" t="n"/>
      <c r="G199" s="10">
        <f>IF(A199="","",COUNTIF(招式表!$A$2:$A$201,A199))</f>
        <v/>
      </c>
      <c r="H199" s="12" t="n"/>
      <c r="I199" s="12" t="n"/>
      <c r="J199" s="12" t="n"/>
      <c r="K199" s="12" t="n"/>
      <c r="L199" s="13" t="n"/>
      <c r="M199" s="12" t="n"/>
      <c r="N199" s="14" t="n"/>
    </row>
    <row r="200">
      <c r="A200" s="12" t="n"/>
      <c r="B200" s="12" t="n"/>
      <c r="C200" s="12" t="n"/>
      <c r="D200" s="12" t="n"/>
      <c r="E200" s="13" t="n"/>
      <c r="F200" s="12" t="n"/>
      <c r="G200" s="10">
        <f>IF(A200="","",COUNTIF(招式表!$A$2:$A$201,A200))</f>
        <v/>
      </c>
      <c r="H200" s="12" t="n"/>
      <c r="I200" s="12" t="n"/>
      <c r="J200" s="12" t="n"/>
      <c r="K200" s="12" t="n"/>
      <c r="L200" s="13" t="n"/>
      <c r="M200" s="12" t="n"/>
      <c r="N200" s="14" t="n"/>
    </row>
    <row r="201">
      <c r="A201" s="12" t="n"/>
      <c r="B201" s="12" t="n"/>
      <c r="C201" s="12" t="n"/>
      <c r="D201" s="12" t="n"/>
      <c r="E201" s="13" t="n"/>
      <c r="F201" s="12" t="n"/>
      <c r="G201" s="10">
        <f>IF(A201="","",COUNTIF(招式表!$A$2:$A$201,A201))</f>
        <v/>
      </c>
      <c r="H201" s="12" t="n"/>
      <c r="I201" s="12" t="n"/>
      <c r="J201" s="12" t="n"/>
      <c r="K201" s="12" t="n"/>
      <c r="L201" s="13" t="n"/>
      <c r="M201" s="12" t="n"/>
      <c r="N201" s="14" t="n"/>
    </row>
  </sheetData>
  <dataValidations count="9">
    <dataValidation sqref="C2:C201" showDropDown="0" showInputMessage="0" showErrorMessage="1" allowBlank="1" error="請從下拉選單選擇" type="list">
      <formula1>=選單!$A$1:$A$24</formula1>
    </dataValidation>
    <dataValidation sqref="F2:F201" showDropDown="0" showInputMessage="0" showErrorMessage="1" allowBlank="1" error="請從下拉選單選擇" type="list">
      <formula1>=選單!$F$1:$F$2</formula1>
    </dataValidation>
    <dataValidation sqref="K2:K201" showDropDown="0" showInputMessage="0" showErrorMessage="1" allowBlank="1" error="請從下拉選單選擇" type="list">
      <formula1>=選單!$G$1:$G$2</formula1>
    </dataValidation>
    <dataValidation sqref="E2:E201" showDropDown="0" showInputMessage="0" showErrorMessage="1" allowBlank="1" error="請填 0 到 100 的整數" type="whole" operator="between">
      <formula1>0</formula1>
      <formula2>100</formula2>
    </dataValidation>
    <dataValidation sqref="H2:H201" showDropDown="0" showInputMessage="0" showErrorMessage="1" allowBlank="1" error="請填 0 到 100 的整數" type="whole" operator="between">
      <formula1>0</formula1>
      <formula2>100</formula2>
    </dataValidation>
    <dataValidation sqref="I2:I201" showDropDown="0" showInputMessage="0" showErrorMessage="1" allowBlank="1" error="請填 0 到 200 的整數" type="whole" operator="between">
      <formula1>0</formula1>
      <formula2>200</formula2>
    </dataValidation>
    <dataValidation sqref="J2:J201" showDropDown="0" showInputMessage="0" showErrorMessage="1" allowBlank="1" error="請填 0 到 100 的整數" type="whole" operator="between">
      <formula1>0</formula1>
      <formula2>100</formula2>
    </dataValidation>
    <dataValidation sqref="L2:L201" showDropDown="0" showInputMessage="0" showErrorMessage="1" allowBlank="1" error="請填 0 到 100 的整數" type="whole" operator="between">
      <formula1>0</formula1>
      <formula2>100</formula2>
    </dataValidation>
    <dataValidation sqref="M2:M201" showDropDown="0" showInputMessage="0" showErrorMessage="1" allowBlank="1" error="請填 0 到 300 的整數" type="whole" operator="between">
      <formula1>0</formula1>
      <formula2>300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10" customWidth="1" min="8" max="8"/>
    <col width="10" customWidth="1" min="9" max="9"/>
    <col width="9" customWidth="1" min="10" max="10"/>
    <col width="13" customWidth="1" min="11" max="11"/>
    <col width="7" customWidth="1" min="12" max="12"/>
    <col width="13" customWidth="1" min="13" max="13"/>
    <col width="18" customWidth="1" min="14" max="14"/>
    <col width="7" customWidth="1" min="15" max="15"/>
    <col width="8" customWidth="1" min="16" max="16"/>
    <col width="9" customWidth="1" min="17" max="17"/>
    <col width="9" customWidth="1" min="18" max="18"/>
    <col width="9" customWidth="1" min="19" max="19"/>
    <col width="7" customWidth="1" min="20" max="20"/>
    <col width="30" customWidth="1" min="21" max="21"/>
  </cols>
  <sheetData>
    <row r="1" ht="36" customHeight="1">
      <c r="A1" s="7" t="inlineStr">
        <is>
          <t>武功代號</t>
        </is>
      </c>
      <c r="B1" s="7" t="inlineStr">
        <is>
          <t>順序</t>
        </is>
      </c>
      <c r="C1" s="7" t="inlineStr">
        <is>
          <t>招式名</t>
        </is>
      </c>
      <c r="D1" s="7" t="inlineStr">
        <is>
          <t>解鎖
等級</t>
        </is>
      </c>
      <c r="E1" s="7" t="inlineStr">
        <is>
          <t>命中
加成</t>
        </is>
      </c>
      <c r="F1" s="7" t="inlineStr">
        <is>
          <t>防守
加成</t>
        </is>
      </c>
      <c r="G1" s="7" t="inlineStr">
        <is>
          <t>內力
加成</t>
        </is>
      </c>
      <c r="H1" s="7" t="inlineStr">
        <is>
          <t>招式傷害
加成 (%)</t>
        </is>
      </c>
      <c r="I1" s="7" t="inlineStr">
        <is>
          <t>總傷害
加成 (%)
(自動)</t>
        </is>
      </c>
      <c r="J1" s="7" t="inlineStr">
        <is>
          <t>傷害類型</t>
        </is>
      </c>
      <c r="K1" s="7" t="inlineStr">
        <is>
          <t>元素</t>
        </is>
      </c>
      <c r="L1" s="7" t="inlineStr">
        <is>
          <t>出招
權重</t>
        </is>
      </c>
      <c r="M1" s="7" t="inlineStr">
        <is>
          <t>出招條件</t>
        </is>
      </c>
      <c r="N1" s="7" t="inlineStr">
        <is>
          <t>連招前置
(招式名)</t>
        </is>
      </c>
      <c r="O1" s="7" t="inlineStr">
        <is>
          <t>內力
消耗</t>
        </is>
      </c>
      <c r="P1" s="7" t="inlineStr">
        <is>
          <t>冷卻
(回合)</t>
        </is>
      </c>
      <c r="Q1" s="7" t="inlineStr">
        <is>
          <t>特效</t>
        </is>
      </c>
      <c r="R1" s="7" t="inlineStr">
        <is>
          <t>特效
機率 (%)</t>
        </is>
      </c>
      <c r="S1" s="7" t="inlineStr">
        <is>
          <t>特效持續
(回合)</t>
        </is>
      </c>
      <c r="T1" s="7" t="inlineStr">
        <is>
          <t>特效
強度</t>
        </is>
      </c>
      <c r="U1" s="7" t="inlineStr">
        <is>
          <t>備註</t>
        </is>
      </c>
    </row>
    <row r="2">
      <c r="A2" s="8" t="inlineStr">
        <is>
          <t>sanmeendo</t>
        </is>
      </c>
      <c r="B2" s="8" t="n">
        <v>1</v>
      </c>
      <c r="C2" s="8" t="inlineStr">
        <is>
          <t>開門見山</t>
        </is>
      </c>
      <c r="D2" s="8" t="n">
        <v>0</v>
      </c>
      <c r="E2" s="8" t="n">
        <v>8</v>
      </c>
      <c r="F2" s="8" t="n">
        <v>3</v>
      </c>
      <c r="G2" s="8" t="n">
        <v>0</v>
      </c>
      <c r="H2" s="9" t="n">
        <v>0</v>
      </c>
      <c r="I2" s="15">
        <f>IF(A2="","",IFERROR(INDEX(武功總表!$E$2:$E$201,MATCH(A2,武功總表!$A$2:$A$201,0)),0)+N(H2))</f>
        <v/>
      </c>
      <c r="J2" s="8" t="inlineStr">
        <is>
          <t>割傷</t>
        </is>
      </c>
      <c r="K2" s="8" t="inlineStr">
        <is>
          <t>無</t>
        </is>
      </c>
      <c r="L2" s="8" t="n">
        <v>5</v>
      </c>
      <c r="M2" s="8" t="inlineStr">
        <is>
          <t>無</t>
        </is>
      </c>
      <c r="N2" s="8" t="inlineStr"/>
      <c r="O2" s="8" t="n">
        <v>0</v>
      </c>
      <c r="P2" s="8" t="n">
        <v>0</v>
      </c>
      <c r="Q2" s="8" t="inlineStr">
        <is>
          <t>無</t>
        </is>
      </c>
      <c r="R2" s="9" t="n"/>
      <c r="S2" s="8" t="n"/>
      <c r="T2" s="8" t="n"/>
      <c r="U2" s="11" t="inlineStr">
        <is>
          <t>範例</t>
        </is>
      </c>
    </row>
    <row r="3">
      <c r="A3" s="8" t="inlineStr">
        <is>
          <t>sanmeendo</t>
        </is>
      </c>
      <c r="B3" s="8" t="n">
        <v>2</v>
      </c>
      <c r="C3" s="8" t="inlineStr">
        <is>
          <t>迴門藏鋒</t>
        </is>
      </c>
      <c r="D3" s="8" t="n">
        <v>0</v>
      </c>
      <c r="E3" s="8" t="n">
        <v>6</v>
      </c>
      <c r="F3" s="8" t="n">
        <v>5</v>
      </c>
      <c r="G3" s="8" t="n">
        <v>0</v>
      </c>
      <c r="H3" s="9" t="n">
        <v>0</v>
      </c>
      <c r="I3" s="15">
        <f>IF(A3="","",IFERROR(INDEX(武功總表!$E$2:$E$201,MATCH(A3,武功總表!$A$2:$A$201,0)),0)+N(H3))</f>
        <v/>
      </c>
      <c r="J3" s="8" t="inlineStr">
        <is>
          <t>割傷</t>
        </is>
      </c>
      <c r="K3" s="8" t="inlineStr">
        <is>
          <t>無</t>
        </is>
      </c>
      <c r="L3" s="8" t="n">
        <v>5</v>
      </c>
      <c r="M3" s="8" t="inlineStr">
        <is>
          <t>無</t>
        </is>
      </c>
      <c r="N3" s="8" t="inlineStr"/>
      <c r="O3" s="8" t="n">
        <v>0</v>
      </c>
      <c r="P3" s="8" t="n">
        <v>0</v>
      </c>
      <c r="Q3" s="8" t="inlineStr">
        <is>
          <t>無</t>
        </is>
      </c>
      <c r="R3" s="9" t="n"/>
      <c r="S3" s="8" t="n"/>
      <c r="T3" s="8" t="n"/>
      <c r="U3" s="11" t="inlineStr">
        <is>
          <t>範例</t>
        </is>
      </c>
    </row>
    <row r="4">
      <c r="A4" s="8" t="inlineStr">
        <is>
          <t>sanmeendo</t>
        </is>
      </c>
      <c r="B4" s="8" t="n">
        <v>3</v>
      </c>
      <c r="C4" s="8" t="inlineStr">
        <is>
          <t>側門截勢</t>
        </is>
      </c>
      <c r="D4" s="8" t="n">
        <v>5</v>
      </c>
      <c r="E4" s="8" t="n">
        <v>7</v>
      </c>
      <c r="F4" s="8" t="n">
        <v>4</v>
      </c>
      <c r="G4" s="8" t="n">
        <v>1</v>
      </c>
      <c r="H4" s="9" t="n">
        <v>0</v>
      </c>
      <c r="I4" s="15">
        <f>IF(A4="","",IFERROR(INDEX(武功總表!$E$2:$E$201,MATCH(A4,武功總表!$A$2:$A$201,0)),0)+N(H4))</f>
        <v/>
      </c>
      <c r="J4" s="8" t="inlineStr">
        <is>
          <t>割傷</t>
        </is>
      </c>
      <c r="K4" s="8" t="inlineStr">
        <is>
          <t>無</t>
        </is>
      </c>
      <c r="L4" s="8" t="n">
        <v>5</v>
      </c>
      <c r="M4" s="8" t="inlineStr">
        <is>
          <t>無</t>
        </is>
      </c>
      <c r="N4" s="8" t="inlineStr"/>
      <c r="O4" s="8" t="n">
        <v>0</v>
      </c>
      <c r="P4" s="8" t="n">
        <v>0</v>
      </c>
      <c r="Q4" s="8" t="inlineStr">
        <is>
          <t>無</t>
        </is>
      </c>
      <c r="R4" s="9" t="n"/>
      <c r="S4" s="8" t="n"/>
      <c r="T4" s="8" t="n"/>
      <c r="U4" s="11" t="inlineStr">
        <is>
          <t>範例</t>
        </is>
      </c>
    </row>
    <row r="5">
      <c r="A5" s="8" t="inlineStr">
        <is>
          <t>sanmeendo</t>
        </is>
      </c>
      <c r="B5" s="8" t="n">
        <v>4</v>
      </c>
      <c r="C5" s="8" t="inlineStr">
        <is>
          <t>中門直進</t>
        </is>
      </c>
      <c r="D5" s="8" t="n">
        <v>10</v>
      </c>
      <c r="E5" s="8" t="n">
        <v>9</v>
      </c>
      <c r="F5" s="8" t="n">
        <v>2</v>
      </c>
      <c r="G5" s="8" t="n">
        <v>1</v>
      </c>
      <c r="H5" s="9" t="n">
        <v>5</v>
      </c>
      <c r="I5" s="15">
        <f>IF(A5="","",IFERROR(INDEX(武功總表!$E$2:$E$201,MATCH(A5,武功總表!$A$2:$A$201,0)),0)+N(H5))</f>
        <v/>
      </c>
      <c r="J5" s="8" t="inlineStr">
        <is>
          <t>割傷</t>
        </is>
      </c>
      <c r="K5" s="8" t="inlineStr">
        <is>
          <t>無</t>
        </is>
      </c>
      <c r="L5" s="8" t="n">
        <v>5</v>
      </c>
      <c r="M5" s="8" t="inlineStr">
        <is>
          <t>無</t>
        </is>
      </c>
      <c r="N5" s="8" t="inlineStr"/>
      <c r="O5" s="8" t="n">
        <v>0</v>
      </c>
      <c r="P5" s="8" t="n">
        <v>0</v>
      </c>
      <c r="Q5" s="8" t="inlineStr">
        <is>
          <t>無</t>
        </is>
      </c>
      <c r="R5" s="9" t="n"/>
      <c r="S5" s="8" t="n"/>
      <c r="T5" s="8" t="n"/>
      <c r="U5" s="11" t="inlineStr">
        <is>
          <t>範例</t>
        </is>
      </c>
    </row>
    <row r="6">
      <c r="A6" s="8" t="inlineStr">
        <is>
          <t>sanmeendo</t>
        </is>
      </c>
      <c r="B6" s="8" t="n">
        <v>5</v>
      </c>
      <c r="C6" s="8" t="inlineStr">
        <is>
          <t>反門回刃</t>
        </is>
      </c>
      <c r="D6" s="8" t="n">
        <v>20</v>
      </c>
      <c r="E6" s="8" t="n">
        <v>6</v>
      </c>
      <c r="F6" s="8" t="n">
        <v>6</v>
      </c>
      <c r="G6" s="8" t="n">
        <v>1</v>
      </c>
      <c r="H6" s="9" t="n">
        <v>0</v>
      </c>
      <c r="I6" s="15">
        <f>IF(A6="","",IFERROR(INDEX(武功總表!$E$2:$E$201,MATCH(A6,武功總表!$A$2:$A$201,0)),0)+N(H6))</f>
        <v/>
      </c>
      <c r="J6" s="8" t="inlineStr">
        <is>
          <t>割傷</t>
        </is>
      </c>
      <c r="K6" s="8" t="inlineStr">
        <is>
          <t>無</t>
        </is>
      </c>
      <c r="L6" s="8" t="n">
        <v>5</v>
      </c>
      <c r="M6" s="8" t="inlineStr">
        <is>
          <t>無</t>
        </is>
      </c>
      <c r="N6" s="8" t="inlineStr"/>
      <c r="O6" s="8" t="n">
        <v>0</v>
      </c>
      <c r="P6" s="8" t="n">
        <v>0</v>
      </c>
      <c r="Q6" s="8" t="inlineStr">
        <is>
          <t>無</t>
        </is>
      </c>
      <c r="R6" s="9" t="n"/>
      <c r="S6" s="8" t="n"/>
      <c r="T6" s="8" t="n"/>
      <c r="U6" s="11" t="inlineStr">
        <is>
          <t>範例</t>
        </is>
      </c>
    </row>
    <row r="7">
      <c r="A7" s="12" t="n"/>
      <c r="B7" s="12" t="n"/>
      <c r="C7" s="12" t="n"/>
      <c r="D7" s="12" t="n"/>
      <c r="E7" s="12" t="n"/>
      <c r="F7" s="12" t="n"/>
      <c r="G7" s="12" t="n"/>
      <c r="H7" s="13" t="n"/>
      <c r="I7" s="15">
        <f>IF(A7="","",IFERROR(INDEX(武功總表!$E$2:$E$201,MATCH(A7,武功總表!$A$2:$A$201,0)),0)+N(H7))</f>
        <v/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3" t="n"/>
      <c r="S7" s="12" t="n"/>
      <c r="T7" s="12" t="n"/>
      <c r="U7" s="14" t="n"/>
    </row>
    <row r="8">
      <c r="A8" s="12" t="n"/>
      <c r="B8" s="12" t="n"/>
      <c r="C8" s="12" t="n"/>
      <c r="D8" s="12" t="n"/>
      <c r="E8" s="12" t="n"/>
      <c r="F8" s="12" t="n"/>
      <c r="G8" s="12" t="n"/>
      <c r="H8" s="13" t="n"/>
      <c r="I8" s="15">
        <f>IF(A8="","",IFERROR(INDEX(武功總表!$E$2:$E$201,MATCH(A8,武功總表!$A$2:$A$201,0)),0)+N(H8))</f>
        <v/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3" t="n"/>
      <c r="S8" s="12" t="n"/>
      <c r="T8" s="12" t="n"/>
      <c r="U8" s="14" t="n"/>
    </row>
    <row r="9">
      <c r="A9" s="12" t="n"/>
      <c r="B9" s="12" t="n"/>
      <c r="C9" s="12" t="n"/>
      <c r="D9" s="12" t="n"/>
      <c r="E9" s="12" t="n"/>
      <c r="F9" s="12" t="n"/>
      <c r="G9" s="12" t="n"/>
      <c r="H9" s="13" t="n"/>
      <c r="I9" s="15">
        <f>IF(A9="","",IFERROR(INDEX(武功總表!$E$2:$E$201,MATCH(A9,武功總表!$A$2:$A$201,0)),0)+N(H9))</f>
        <v/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3" t="n"/>
      <c r="S9" s="12" t="n"/>
      <c r="T9" s="12" t="n"/>
      <c r="U9" s="14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3" t="n"/>
      <c r="I10" s="15">
        <f>IF(A10="","",IFERROR(INDEX(武功總表!$E$2:$E$201,MATCH(A10,武功總表!$A$2:$A$201,0)),0)+N(H10))</f>
        <v/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3" t="n"/>
      <c r="S10" s="12" t="n"/>
      <c r="T10" s="12" t="n"/>
      <c r="U10" s="14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3" t="n"/>
      <c r="I11" s="15">
        <f>IF(A11="","",IFERROR(INDEX(武功總表!$E$2:$E$201,MATCH(A11,武功總表!$A$2:$A$201,0)),0)+N(H11))</f>
        <v/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3" t="n"/>
      <c r="S11" s="12" t="n"/>
      <c r="T11" s="12" t="n"/>
      <c r="U11" s="14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3" t="n"/>
      <c r="I12" s="15">
        <f>IF(A12="","",IFERROR(INDEX(武功總表!$E$2:$E$201,MATCH(A12,武功總表!$A$2:$A$201,0)),0)+N(H12))</f>
        <v/>
      </c>
      <c r="J12" s="12" t="n"/>
      <c r="K12" s="12" t="n"/>
      <c r="L12" s="12" t="n"/>
      <c r="M12" s="12" t="n"/>
      <c r="N12" s="12" t="n"/>
      <c r="O12" s="12" t="n"/>
      <c r="P12" s="12" t="n"/>
      <c r="Q12" s="12" t="n"/>
      <c r="R12" s="13" t="n"/>
      <c r="S12" s="12" t="n"/>
      <c r="T12" s="12" t="n"/>
      <c r="U12" s="14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3" t="n"/>
      <c r="I13" s="15">
        <f>IF(A13="","",IFERROR(INDEX(武功總表!$E$2:$E$201,MATCH(A13,武功總表!$A$2:$A$201,0)),0)+N(H13))</f>
        <v/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3" t="n"/>
      <c r="S13" s="12" t="n"/>
      <c r="T13" s="12" t="n"/>
      <c r="U13" s="14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3" t="n"/>
      <c r="I14" s="15">
        <f>IF(A14="","",IFERROR(INDEX(武功總表!$E$2:$E$201,MATCH(A14,武功總表!$A$2:$A$201,0)),0)+N(H14))</f>
        <v/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3" t="n"/>
      <c r="S14" s="12" t="n"/>
      <c r="T14" s="12" t="n"/>
      <c r="U14" s="14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3" t="n"/>
      <c r="I15" s="15">
        <f>IF(A15="","",IFERROR(INDEX(武功總表!$E$2:$E$201,MATCH(A15,武功總表!$A$2:$A$201,0)),0)+N(H15))</f>
        <v/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3" t="n"/>
      <c r="S15" s="12" t="n"/>
      <c r="T15" s="12" t="n"/>
      <c r="U15" s="14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3" t="n"/>
      <c r="I16" s="15">
        <f>IF(A16="","",IFERROR(INDEX(武功總表!$E$2:$E$201,MATCH(A16,武功總表!$A$2:$A$201,0)),0)+N(H16))</f>
        <v/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3" t="n"/>
      <c r="S16" s="12" t="n"/>
      <c r="T16" s="12" t="n"/>
      <c r="U16" s="14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3" t="n"/>
      <c r="I17" s="15">
        <f>IF(A17="","",IFERROR(INDEX(武功總表!$E$2:$E$201,MATCH(A17,武功總表!$A$2:$A$201,0)),0)+N(H17))</f>
        <v/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3" t="n"/>
      <c r="S17" s="12" t="n"/>
      <c r="T17" s="12" t="n"/>
      <c r="U17" s="14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3" t="n"/>
      <c r="I18" s="15">
        <f>IF(A18="","",IFERROR(INDEX(武功總表!$E$2:$E$201,MATCH(A18,武功總表!$A$2:$A$201,0)),0)+N(H18))</f>
        <v/>
      </c>
      <c r="J18" s="12" t="n"/>
      <c r="K18" s="12" t="n"/>
      <c r="L18" s="12" t="n"/>
      <c r="M18" s="12" t="n"/>
      <c r="N18" s="12" t="n"/>
      <c r="O18" s="12" t="n"/>
      <c r="P18" s="12" t="n"/>
      <c r="Q18" s="12" t="n"/>
      <c r="R18" s="13" t="n"/>
      <c r="S18" s="12" t="n"/>
      <c r="T18" s="12" t="n"/>
      <c r="U18" s="14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3" t="n"/>
      <c r="I19" s="15">
        <f>IF(A19="","",IFERROR(INDEX(武功總表!$E$2:$E$201,MATCH(A19,武功總表!$A$2:$A$201,0)),0)+N(H19))</f>
        <v/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3" t="n"/>
      <c r="S19" s="12" t="n"/>
      <c r="T19" s="12" t="n"/>
      <c r="U19" s="14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3" t="n"/>
      <c r="I20" s="15">
        <f>IF(A20="","",IFERROR(INDEX(武功總表!$E$2:$E$201,MATCH(A20,武功總表!$A$2:$A$201,0)),0)+N(H20))</f>
        <v/>
      </c>
      <c r="J20" s="12" t="n"/>
      <c r="K20" s="12" t="n"/>
      <c r="L20" s="12" t="n"/>
      <c r="M20" s="12" t="n"/>
      <c r="N20" s="12" t="n"/>
      <c r="O20" s="12" t="n"/>
      <c r="P20" s="12" t="n"/>
      <c r="Q20" s="12" t="n"/>
      <c r="R20" s="13" t="n"/>
      <c r="S20" s="12" t="n"/>
      <c r="T20" s="12" t="n"/>
      <c r="U20" s="14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3" t="n"/>
      <c r="I21" s="15">
        <f>IF(A21="","",IFERROR(INDEX(武功總表!$E$2:$E$201,MATCH(A21,武功總表!$A$2:$A$201,0)),0)+N(H21))</f>
        <v/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3" t="n"/>
      <c r="S21" s="12" t="n"/>
      <c r="T21" s="12" t="n"/>
      <c r="U21" s="14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3" t="n"/>
      <c r="I22" s="15">
        <f>IF(A22="","",IFERROR(INDEX(武功總表!$E$2:$E$201,MATCH(A22,武功總表!$A$2:$A$201,0)),0)+N(H22))</f>
        <v/>
      </c>
      <c r="J22" s="12" t="n"/>
      <c r="K22" s="12" t="n"/>
      <c r="L22" s="12" t="n"/>
      <c r="M22" s="12" t="n"/>
      <c r="N22" s="12" t="n"/>
      <c r="O22" s="12" t="n"/>
      <c r="P22" s="12" t="n"/>
      <c r="Q22" s="12" t="n"/>
      <c r="R22" s="13" t="n"/>
      <c r="S22" s="12" t="n"/>
      <c r="T22" s="12" t="n"/>
      <c r="U22" s="14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3" t="n"/>
      <c r="I23" s="15">
        <f>IF(A23="","",IFERROR(INDEX(武功總表!$E$2:$E$201,MATCH(A23,武功總表!$A$2:$A$201,0)),0)+N(H23))</f>
        <v/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3" t="n"/>
      <c r="S23" s="12" t="n"/>
      <c r="T23" s="12" t="n"/>
      <c r="U23" s="14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3" t="n"/>
      <c r="I24" s="15">
        <f>IF(A24="","",IFERROR(INDEX(武功總表!$E$2:$E$201,MATCH(A24,武功總表!$A$2:$A$201,0)),0)+N(H24))</f>
        <v/>
      </c>
      <c r="J24" s="12" t="n"/>
      <c r="K24" s="12" t="n"/>
      <c r="L24" s="12" t="n"/>
      <c r="M24" s="12" t="n"/>
      <c r="N24" s="12" t="n"/>
      <c r="O24" s="12" t="n"/>
      <c r="P24" s="12" t="n"/>
      <c r="Q24" s="12" t="n"/>
      <c r="R24" s="13" t="n"/>
      <c r="S24" s="12" t="n"/>
      <c r="T24" s="12" t="n"/>
      <c r="U24" s="14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3" t="n"/>
      <c r="I25" s="15">
        <f>IF(A25="","",IFERROR(INDEX(武功總表!$E$2:$E$201,MATCH(A25,武功總表!$A$2:$A$201,0)),0)+N(H25))</f>
        <v/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3" t="n"/>
      <c r="S25" s="12" t="n"/>
      <c r="T25" s="12" t="n"/>
      <c r="U25" s="14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3" t="n"/>
      <c r="I26" s="15">
        <f>IF(A26="","",IFERROR(INDEX(武功總表!$E$2:$E$201,MATCH(A26,武功總表!$A$2:$A$201,0)),0)+N(H26))</f>
        <v/>
      </c>
      <c r="J26" s="12" t="n"/>
      <c r="K26" s="12" t="n"/>
      <c r="L26" s="12" t="n"/>
      <c r="M26" s="12" t="n"/>
      <c r="N26" s="12" t="n"/>
      <c r="O26" s="12" t="n"/>
      <c r="P26" s="12" t="n"/>
      <c r="Q26" s="12" t="n"/>
      <c r="R26" s="13" t="n"/>
      <c r="S26" s="12" t="n"/>
      <c r="T26" s="12" t="n"/>
      <c r="U26" s="14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3" t="n"/>
      <c r="I27" s="15">
        <f>IF(A27="","",IFERROR(INDEX(武功總表!$E$2:$E$201,MATCH(A27,武功總表!$A$2:$A$201,0)),0)+N(H27))</f>
        <v/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3" t="n"/>
      <c r="S27" s="12" t="n"/>
      <c r="T27" s="12" t="n"/>
      <c r="U27" s="14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3" t="n"/>
      <c r="I28" s="15">
        <f>IF(A28="","",IFERROR(INDEX(武功總表!$E$2:$E$201,MATCH(A28,武功總表!$A$2:$A$201,0)),0)+N(H28))</f>
        <v/>
      </c>
      <c r="J28" s="12" t="n"/>
      <c r="K28" s="12" t="n"/>
      <c r="L28" s="12" t="n"/>
      <c r="M28" s="12" t="n"/>
      <c r="N28" s="12" t="n"/>
      <c r="O28" s="12" t="n"/>
      <c r="P28" s="12" t="n"/>
      <c r="Q28" s="12" t="n"/>
      <c r="R28" s="13" t="n"/>
      <c r="S28" s="12" t="n"/>
      <c r="T28" s="12" t="n"/>
      <c r="U28" s="14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3" t="n"/>
      <c r="I29" s="15">
        <f>IF(A29="","",IFERROR(INDEX(武功總表!$E$2:$E$201,MATCH(A29,武功總表!$A$2:$A$201,0)),0)+N(H29))</f>
        <v/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3" t="n"/>
      <c r="S29" s="12" t="n"/>
      <c r="T29" s="12" t="n"/>
      <c r="U29" s="14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3" t="n"/>
      <c r="I30" s="15">
        <f>IF(A30="","",IFERROR(INDEX(武功總表!$E$2:$E$201,MATCH(A30,武功總表!$A$2:$A$201,0)),0)+N(H30))</f>
        <v/>
      </c>
      <c r="J30" s="12" t="n"/>
      <c r="K30" s="12" t="n"/>
      <c r="L30" s="12" t="n"/>
      <c r="M30" s="12" t="n"/>
      <c r="N30" s="12" t="n"/>
      <c r="O30" s="12" t="n"/>
      <c r="P30" s="12" t="n"/>
      <c r="Q30" s="12" t="n"/>
      <c r="R30" s="13" t="n"/>
      <c r="S30" s="12" t="n"/>
      <c r="T30" s="12" t="n"/>
      <c r="U30" s="14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3" t="n"/>
      <c r="I31" s="15">
        <f>IF(A31="","",IFERROR(INDEX(武功總表!$E$2:$E$201,MATCH(A31,武功總表!$A$2:$A$201,0)),0)+N(H31))</f>
        <v/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3" t="n"/>
      <c r="S31" s="12" t="n"/>
      <c r="T31" s="12" t="n"/>
      <c r="U31" s="14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3" t="n"/>
      <c r="I32" s="15">
        <f>IF(A32="","",IFERROR(INDEX(武功總表!$E$2:$E$201,MATCH(A32,武功總表!$A$2:$A$201,0)),0)+N(H32))</f>
        <v/>
      </c>
      <c r="J32" s="12" t="n"/>
      <c r="K32" s="12" t="n"/>
      <c r="L32" s="12" t="n"/>
      <c r="M32" s="12" t="n"/>
      <c r="N32" s="12" t="n"/>
      <c r="O32" s="12" t="n"/>
      <c r="P32" s="12" t="n"/>
      <c r="Q32" s="12" t="n"/>
      <c r="R32" s="13" t="n"/>
      <c r="S32" s="12" t="n"/>
      <c r="T32" s="12" t="n"/>
      <c r="U32" s="14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3" t="n"/>
      <c r="I33" s="15">
        <f>IF(A33="","",IFERROR(INDEX(武功總表!$E$2:$E$201,MATCH(A33,武功總表!$A$2:$A$201,0)),0)+N(H33))</f>
        <v/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3" t="n"/>
      <c r="S33" s="12" t="n"/>
      <c r="T33" s="12" t="n"/>
      <c r="U33" s="14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3" t="n"/>
      <c r="I34" s="15">
        <f>IF(A34="","",IFERROR(INDEX(武功總表!$E$2:$E$201,MATCH(A34,武功總表!$A$2:$A$201,0)),0)+N(H34))</f>
        <v/>
      </c>
      <c r="J34" s="12" t="n"/>
      <c r="K34" s="12" t="n"/>
      <c r="L34" s="12" t="n"/>
      <c r="M34" s="12" t="n"/>
      <c r="N34" s="12" t="n"/>
      <c r="O34" s="12" t="n"/>
      <c r="P34" s="12" t="n"/>
      <c r="Q34" s="12" t="n"/>
      <c r="R34" s="13" t="n"/>
      <c r="S34" s="12" t="n"/>
      <c r="T34" s="12" t="n"/>
      <c r="U34" s="14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3" t="n"/>
      <c r="I35" s="15">
        <f>IF(A35="","",IFERROR(INDEX(武功總表!$E$2:$E$201,MATCH(A35,武功總表!$A$2:$A$201,0)),0)+N(H35))</f>
        <v/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3" t="n"/>
      <c r="S35" s="12" t="n"/>
      <c r="T35" s="12" t="n"/>
      <c r="U35" s="14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3" t="n"/>
      <c r="I36" s="15">
        <f>IF(A36="","",IFERROR(INDEX(武功總表!$E$2:$E$201,MATCH(A36,武功總表!$A$2:$A$201,0)),0)+N(H36))</f>
        <v/>
      </c>
      <c r="J36" s="12" t="n"/>
      <c r="K36" s="12" t="n"/>
      <c r="L36" s="12" t="n"/>
      <c r="M36" s="12" t="n"/>
      <c r="N36" s="12" t="n"/>
      <c r="O36" s="12" t="n"/>
      <c r="P36" s="12" t="n"/>
      <c r="Q36" s="12" t="n"/>
      <c r="R36" s="13" t="n"/>
      <c r="S36" s="12" t="n"/>
      <c r="T36" s="12" t="n"/>
      <c r="U36" s="14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3" t="n"/>
      <c r="I37" s="15">
        <f>IF(A37="","",IFERROR(INDEX(武功總表!$E$2:$E$201,MATCH(A37,武功總表!$A$2:$A$201,0)),0)+N(H37))</f>
        <v/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3" t="n"/>
      <c r="S37" s="12" t="n"/>
      <c r="T37" s="12" t="n"/>
      <c r="U37" s="14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3" t="n"/>
      <c r="I38" s="15">
        <f>IF(A38="","",IFERROR(INDEX(武功總表!$E$2:$E$201,MATCH(A38,武功總表!$A$2:$A$201,0)),0)+N(H38))</f>
        <v/>
      </c>
      <c r="J38" s="12" t="n"/>
      <c r="K38" s="12" t="n"/>
      <c r="L38" s="12" t="n"/>
      <c r="M38" s="12" t="n"/>
      <c r="N38" s="12" t="n"/>
      <c r="O38" s="12" t="n"/>
      <c r="P38" s="12" t="n"/>
      <c r="Q38" s="12" t="n"/>
      <c r="R38" s="13" t="n"/>
      <c r="S38" s="12" t="n"/>
      <c r="T38" s="12" t="n"/>
      <c r="U38" s="14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3" t="n"/>
      <c r="I39" s="15">
        <f>IF(A39="","",IFERROR(INDEX(武功總表!$E$2:$E$201,MATCH(A39,武功總表!$A$2:$A$201,0)),0)+N(H39))</f>
        <v/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3" t="n"/>
      <c r="S39" s="12" t="n"/>
      <c r="T39" s="12" t="n"/>
      <c r="U39" s="14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3" t="n"/>
      <c r="I40" s="15">
        <f>IF(A40="","",IFERROR(INDEX(武功總表!$E$2:$E$201,MATCH(A40,武功總表!$A$2:$A$201,0)),0)+N(H40))</f>
        <v/>
      </c>
      <c r="J40" s="12" t="n"/>
      <c r="K40" s="12" t="n"/>
      <c r="L40" s="12" t="n"/>
      <c r="M40" s="12" t="n"/>
      <c r="N40" s="12" t="n"/>
      <c r="O40" s="12" t="n"/>
      <c r="P40" s="12" t="n"/>
      <c r="Q40" s="12" t="n"/>
      <c r="R40" s="13" t="n"/>
      <c r="S40" s="12" t="n"/>
      <c r="T40" s="12" t="n"/>
      <c r="U40" s="14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3" t="n"/>
      <c r="I41" s="15">
        <f>IF(A41="","",IFERROR(INDEX(武功總表!$E$2:$E$201,MATCH(A41,武功總表!$A$2:$A$201,0)),0)+N(H41))</f>
        <v/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3" t="n"/>
      <c r="S41" s="12" t="n"/>
      <c r="T41" s="12" t="n"/>
      <c r="U41" s="14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3" t="n"/>
      <c r="I42" s="15">
        <f>IF(A42="","",IFERROR(INDEX(武功總表!$E$2:$E$201,MATCH(A42,武功總表!$A$2:$A$201,0)),0)+N(H42))</f>
        <v/>
      </c>
      <c r="J42" s="12" t="n"/>
      <c r="K42" s="12" t="n"/>
      <c r="L42" s="12" t="n"/>
      <c r="M42" s="12" t="n"/>
      <c r="N42" s="12" t="n"/>
      <c r="O42" s="12" t="n"/>
      <c r="P42" s="12" t="n"/>
      <c r="Q42" s="12" t="n"/>
      <c r="R42" s="13" t="n"/>
      <c r="S42" s="12" t="n"/>
      <c r="T42" s="12" t="n"/>
      <c r="U42" s="14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3" t="n"/>
      <c r="I43" s="15">
        <f>IF(A43="","",IFERROR(INDEX(武功總表!$E$2:$E$201,MATCH(A43,武功總表!$A$2:$A$201,0)),0)+N(H43))</f>
        <v/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2" t="n"/>
      <c r="T43" s="12" t="n"/>
      <c r="U43" s="14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3" t="n"/>
      <c r="I44" s="15">
        <f>IF(A44="","",IFERROR(INDEX(武功總表!$E$2:$E$201,MATCH(A44,武功總表!$A$2:$A$201,0)),0)+N(H44))</f>
        <v/>
      </c>
      <c r="J44" s="12" t="n"/>
      <c r="K44" s="12" t="n"/>
      <c r="L44" s="12" t="n"/>
      <c r="M44" s="12" t="n"/>
      <c r="N44" s="12" t="n"/>
      <c r="O44" s="12" t="n"/>
      <c r="P44" s="12" t="n"/>
      <c r="Q44" s="12" t="n"/>
      <c r="R44" s="13" t="n"/>
      <c r="S44" s="12" t="n"/>
      <c r="T44" s="12" t="n"/>
      <c r="U44" s="14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3" t="n"/>
      <c r="I45" s="15">
        <f>IF(A45="","",IFERROR(INDEX(武功總表!$E$2:$E$201,MATCH(A45,武功總表!$A$2:$A$201,0)),0)+N(H45))</f>
        <v/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3" t="n"/>
      <c r="S45" s="12" t="n"/>
      <c r="T45" s="12" t="n"/>
      <c r="U45" s="14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3" t="n"/>
      <c r="I46" s="15">
        <f>IF(A46="","",IFERROR(INDEX(武功總表!$E$2:$E$201,MATCH(A46,武功總表!$A$2:$A$201,0)),0)+N(H46))</f>
        <v/>
      </c>
      <c r="J46" s="12" t="n"/>
      <c r="K46" s="12" t="n"/>
      <c r="L46" s="12" t="n"/>
      <c r="M46" s="12" t="n"/>
      <c r="N46" s="12" t="n"/>
      <c r="O46" s="12" t="n"/>
      <c r="P46" s="12" t="n"/>
      <c r="Q46" s="12" t="n"/>
      <c r="R46" s="13" t="n"/>
      <c r="S46" s="12" t="n"/>
      <c r="T46" s="12" t="n"/>
      <c r="U46" s="14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3" t="n"/>
      <c r="I47" s="15">
        <f>IF(A47="","",IFERROR(INDEX(武功總表!$E$2:$E$201,MATCH(A47,武功總表!$A$2:$A$201,0)),0)+N(H47))</f>
        <v/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3" t="n"/>
      <c r="S47" s="12" t="n"/>
      <c r="T47" s="12" t="n"/>
      <c r="U47" s="14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3" t="n"/>
      <c r="I48" s="15">
        <f>IF(A48="","",IFERROR(INDEX(武功總表!$E$2:$E$201,MATCH(A48,武功總表!$A$2:$A$201,0)),0)+N(H48))</f>
        <v/>
      </c>
      <c r="J48" s="12" t="n"/>
      <c r="K48" s="12" t="n"/>
      <c r="L48" s="12" t="n"/>
      <c r="M48" s="12" t="n"/>
      <c r="N48" s="12" t="n"/>
      <c r="O48" s="12" t="n"/>
      <c r="P48" s="12" t="n"/>
      <c r="Q48" s="12" t="n"/>
      <c r="R48" s="13" t="n"/>
      <c r="S48" s="12" t="n"/>
      <c r="T48" s="12" t="n"/>
      <c r="U48" s="14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3" t="n"/>
      <c r="I49" s="15">
        <f>IF(A49="","",IFERROR(INDEX(武功總表!$E$2:$E$201,MATCH(A49,武功總表!$A$2:$A$201,0)),0)+N(H49))</f>
        <v/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3" t="n"/>
      <c r="S49" s="12" t="n"/>
      <c r="T49" s="12" t="n"/>
      <c r="U49" s="14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3" t="n"/>
      <c r="I50" s="15">
        <f>IF(A50="","",IFERROR(INDEX(武功總表!$E$2:$E$201,MATCH(A50,武功總表!$A$2:$A$201,0)),0)+N(H50))</f>
        <v/>
      </c>
      <c r="J50" s="12" t="n"/>
      <c r="K50" s="12" t="n"/>
      <c r="L50" s="12" t="n"/>
      <c r="M50" s="12" t="n"/>
      <c r="N50" s="12" t="n"/>
      <c r="O50" s="12" t="n"/>
      <c r="P50" s="12" t="n"/>
      <c r="Q50" s="12" t="n"/>
      <c r="R50" s="13" t="n"/>
      <c r="S50" s="12" t="n"/>
      <c r="T50" s="12" t="n"/>
      <c r="U50" s="14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3" t="n"/>
      <c r="I51" s="15">
        <f>IF(A51="","",IFERROR(INDEX(武功總表!$E$2:$E$201,MATCH(A51,武功總表!$A$2:$A$201,0)),0)+N(H51))</f>
        <v/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3" t="n"/>
      <c r="S51" s="12" t="n"/>
      <c r="T51" s="12" t="n"/>
      <c r="U51" s="14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3" t="n"/>
      <c r="I52" s="15">
        <f>IF(A52="","",IFERROR(INDEX(武功總表!$E$2:$E$201,MATCH(A52,武功總表!$A$2:$A$201,0)),0)+N(H52))</f>
        <v/>
      </c>
      <c r="J52" s="12" t="n"/>
      <c r="K52" s="12" t="n"/>
      <c r="L52" s="12" t="n"/>
      <c r="M52" s="12" t="n"/>
      <c r="N52" s="12" t="n"/>
      <c r="O52" s="12" t="n"/>
      <c r="P52" s="12" t="n"/>
      <c r="Q52" s="12" t="n"/>
      <c r="R52" s="13" t="n"/>
      <c r="S52" s="12" t="n"/>
      <c r="T52" s="12" t="n"/>
      <c r="U52" s="14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3" t="n"/>
      <c r="I53" s="15">
        <f>IF(A53="","",IFERROR(INDEX(武功總表!$E$2:$E$201,MATCH(A53,武功總表!$A$2:$A$201,0)),0)+N(H53))</f>
        <v/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3" t="n"/>
      <c r="S53" s="12" t="n"/>
      <c r="T53" s="12" t="n"/>
      <c r="U53" s="14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3" t="n"/>
      <c r="I54" s="15">
        <f>IF(A54="","",IFERROR(INDEX(武功總表!$E$2:$E$201,MATCH(A54,武功總表!$A$2:$A$201,0)),0)+N(H54))</f>
        <v/>
      </c>
      <c r="J54" s="12" t="n"/>
      <c r="K54" s="12" t="n"/>
      <c r="L54" s="12" t="n"/>
      <c r="M54" s="12" t="n"/>
      <c r="N54" s="12" t="n"/>
      <c r="O54" s="12" t="n"/>
      <c r="P54" s="12" t="n"/>
      <c r="Q54" s="12" t="n"/>
      <c r="R54" s="13" t="n"/>
      <c r="S54" s="12" t="n"/>
      <c r="T54" s="12" t="n"/>
      <c r="U54" s="14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3" t="n"/>
      <c r="I55" s="15">
        <f>IF(A55="","",IFERROR(INDEX(武功總表!$E$2:$E$201,MATCH(A55,武功總表!$A$2:$A$201,0)),0)+N(H55))</f>
        <v/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3" t="n"/>
      <c r="S55" s="12" t="n"/>
      <c r="T55" s="12" t="n"/>
      <c r="U55" s="14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3" t="n"/>
      <c r="I56" s="15">
        <f>IF(A56="","",IFERROR(INDEX(武功總表!$E$2:$E$201,MATCH(A56,武功總表!$A$2:$A$201,0)),0)+N(H56))</f>
        <v/>
      </c>
      <c r="J56" s="12" t="n"/>
      <c r="K56" s="12" t="n"/>
      <c r="L56" s="12" t="n"/>
      <c r="M56" s="12" t="n"/>
      <c r="N56" s="12" t="n"/>
      <c r="O56" s="12" t="n"/>
      <c r="P56" s="12" t="n"/>
      <c r="Q56" s="12" t="n"/>
      <c r="R56" s="13" t="n"/>
      <c r="S56" s="12" t="n"/>
      <c r="T56" s="12" t="n"/>
      <c r="U56" s="14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3" t="n"/>
      <c r="I57" s="15">
        <f>IF(A57="","",IFERROR(INDEX(武功總表!$E$2:$E$201,MATCH(A57,武功總表!$A$2:$A$201,0)),0)+N(H57))</f>
        <v/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3" t="n"/>
      <c r="S57" s="12" t="n"/>
      <c r="T57" s="12" t="n"/>
      <c r="U57" s="14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3" t="n"/>
      <c r="I58" s="15">
        <f>IF(A58="","",IFERROR(INDEX(武功總表!$E$2:$E$201,MATCH(A58,武功總表!$A$2:$A$201,0)),0)+N(H58))</f>
        <v/>
      </c>
      <c r="J58" s="12" t="n"/>
      <c r="K58" s="12" t="n"/>
      <c r="L58" s="12" t="n"/>
      <c r="M58" s="12" t="n"/>
      <c r="N58" s="12" t="n"/>
      <c r="O58" s="12" t="n"/>
      <c r="P58" s="12" t="n"/>
      <c r="Q58" s="12" t="n"/>
      <c r="R58" s="13" t="n"/>
      <c r="S58" s="12" t="n"/>
      <c r="T58" s="12" t="n"/>
      <c r="U58" s="14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3" t="n"/>
      <c r="I59" s="15">
        <f>IF(A59="","",IFERROR(INDEX(武功總表!$E$2:$E$201,MATCH(A59,武功總表!$A$2:$A$201,0)),0)+N(H59))</f>
        <v/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3" t="n"/>
      <c r="S59" s="12" t="n"/>
      <c r="T59" s="12" t="n"/>
      <c r="U59" s="14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3" t="n"/>
      <c r="I60" s="15">
        <f>IF(A60="","",IFERROR(INDEX(武功總表!$E$2:$E$201,MATCH(A60,武功總表!$A$2:$A$201,0)),0)+N(H60))</f>
        <v/>
      </c>
      <c r="J60" s="12" t="n"/>
      <c r="K60" s="12" t="n"/>
      <c r="L60" s="12" t="n"/>
      <c r="M60" s="12" t="n"/>
      <c r="N60" s="12" t="n"/>
      <c r="O60" s="12" t="n"/>
      <c r="P60" s="12" t="n"/>
      <c r="Q60" s="12" t="n"/>
      <c r="R60" s="13" t="n"/>
      <c r="S60" s="12" t="n"/>
      <c r="T60" s="12" t="n"/>
      <c r="U60" s="14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3" t="n"/>
      <c r="I61" s="15">
        <f>IF(A61="","",IFERROR(INDEX(武功總表!$E$2:$E$201,MATCH(A61,武功總表!$A$2:$A$201,0)),0)+N(H61))</f>
        <v/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3" t="n"/>
      <c r="S61" s="12" t="n"/>
      <c r="T61" s="12" t="n"/>
      <c r="U61" s="14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3" t="n"/>
      <c r="I62" s="15">
        <f>IF(A62="","",IFERROR(INDEX(武功總表!$E$2:$E$201,MATCH(A62,武功總表!$A$2:$A$201,0)),0)+N(H62))</f>
        <v/>
      </c>
      <c r="J62" s="12" t="n"/>
      <c r="K62" s="12" t="n"/>
      <c r="L62" s="12" t="n"/>
      <c r="M62" s="12" t="n"/>
      <c r="N62" s="12" t="n"/>
      <c r="O62" s="12" t="n"/>
      <c r="P62" s="12" t="n"/>
      <c r="Q62" s="12" t="n"/>
      <c r="R62" s="13" t="n"/>
      <c r="S62" s="12" t="n"/>
      <c r="T62" s="12" t="n"/>
      <c r="U62" s="14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3" t="n"/>
      <c r="I63" s="15">
        <f>IF(A63="","",IFERROR(INDEX(武功總表!$E$2:$E$201,MATCH(A63,武功總表!$A$2:$A$201,0)),0)+N(H63))</f>
        <v/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3" t="n"/>
      <c r="S63" s="12" t="n"/>
      <c r="T63" s="12" t="n"/>
      <c r="U63" s="14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3" t="n"/>
      <c r="I64" s="15">
        <f>IF(A64="","",IFERROR(INDEX(武功總表!$E$2:$E$201,MATCH(A64,武功總表!$A$2:$A$201,0)),0)+N(H64))</f>
        <v/>
      </c>
      <c r="J64" s="12" t="n"/>
      <c r="K64" s="12" t="n"/>
      <c r="L64" s="12" t="n"/>
      <c r="M64" s="12" t="n"/>
      <c r="N64" s="12" t="n"/>
      <c r="O64" s="12" t="n"/>
      <c r="P64" s="12" t="n"/>
      <c r="Q64" s="12" t="n"/>
      <c r="R64" s="13" t="n"/>
      <c r="S64" s="12" t="n"/>
      <c r="T64" s="12" t="n"/>
      <c r="U64" s="14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3" t="n"/>
      <c r="I65" s="15">
        <f>IF(A65="","",IFERROR(INDEX(武功總表!$E$2:$E$201,MATCH(A65,武功總表!$A$2:$A$201,0)),0)+N(H65))</f>
        <v/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3" t="n"/>
      <c r="S65" s="12" t="n"/>
      <c r="T65" s="12" t="n"/>
      <c r="U65" s="14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3" t="n"/>
      <c r="I66" s="15">
        <f>IF(A66="","",IFERROR(INDEX(武功總表!$E$2:$E$201,MATCH(A66,武功總表!$A$2:$A$201,0)),0)+N(H66))</f>
        <v/>
      </c>
      <c r="J66" s="12" t="n"/>
      <c r="K66" s="12" t="n"/>
      <c r="L66" s="12" t="n"/>
      <c r="M66" s="12" t="n"/>
      <c r="N66" s="12" t="n"/>
      <c r="O66" s="12" t="n"/>
      <c r="P66" s="12" t="n"/>
      <c r="Q66" s="12" t="n"/>
      <c r="R66" s="13" t="n"/>
      <c r="S66" s="12" t="n"/>
      <c r="T66" s="12" t="n"/>
      <c r="U66" s="14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3" t="n"/>
      <c r="I67" s="15">
        <f>IF(A67="","",IFERROR(INDEX(武功總表!$E$2:$E$201,MATCH(A67,武功總表!$A$2:$A$201,0)),0)+N(H67))</f>
        <v/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3" t="n"/>
      <c r="S67" s="12" t="n"/>
      <c r="T67" s="12" t="n"/>
      <c r="U67" s="14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3" t="n"/>
      <c r="I68" s="15">
        <f>IF(A68="","",IFERROR(INDEX(武功總表!$E$2:$E$201,MATCH(A68,武功總表!$A$2:$A$201,0)),0)+N(H68))</f>
        <v/>
      </c>
      <c r="J68" s="12" t="n"/>
      <c r="K68" s="12" t="n"/>
      <c r="L68" s="12" t="n"/>
      <c r="M68" s="12" t="n"/>
      <c r="N68" s="12" t="n"/>
      <c r="O68" s="12" t="n"/>
      <c r="P68" s="12" t="n"/>
      <c r="Q68" s="12" t="n"/>
      <c r="R68" s="13" t="n"/>
      <c r="S68" s="12" t="n"/>
      <c r="T68" s="12" t="n"/>
      <c r="U68" s="14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3" t="n"/>
      <c r="I69" s="15">
        <f>IF(A69="","",IFERROR(INDEX(武功總表!$E$2:$E$201,MATCH(A69,武功總表!$A$2:$A$201,0)),0)+N(H69))</f>
        <v/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3" t="n"/>
      <c r="S69" s="12" t="n"/>
      <c r="T69" s="12" t="n"/>
      <c r="U69" s="14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3" t="n"/>
      <c r="I70" s="15">
        <f>IF(A70="","",IFERROR(INDEX(武功總表!$E$2:$E$201,MATCH(A70,武功總表!$A$2:$A$201,0)),0)+N(H70))</f>
        <v/>
      </c>
      <c r="J70" s="12" t="n"/>
      <c r="K70" s="12" t="n"/>
      <c r="L70" s="12" t="n"/>
      <c r="M70" s="12" t="n"/>
      <c r="N70" s="12" t="n"/>
      <c r="O70" s="12" t="n"/>
      <c r="P70" s="12" t="n"/>
      <c r="Q70" s="12" t="n"/>
      <c r="R70" s="13" t="n"/>
      <c r="S70" s="12" t="n"/>
      <c r="T70" s="12" t="n"/>
      <c r="U70" s="14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3" t="n"/>
      <c r="I71" s="15">
        <f>IF(A71="","",IFERROR(INDEX(武功總表!$E$2:$E$201,MATCH(A71,武功總表!$A$2:$A$201,0)),0)+N(H71))</f>
        <v/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3" t="n"/>
      <c r="S71" s="12" t="n"/>
      <c r="T71" s="12" t="n"/>
      <c r="U71" s="14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3" t="n"/>
      <c r="I72" s="15">
        <f>IF(A72="","",IFERROR(INDEX(武功總表!$E$2:$E$201,MATCH(A72,武功總表!$A$2:$A$201,0)),0)+N(H72))</f>
        <v/>
      </c>
      <c r="J72" s="12" t="n"/>
      <c r="K72" s="12" t="n"/>
      <c r="L72" s="12" t="n"/>
      <c r="M72" s="12" t="n"/>
      <c r="N72" s="12" t="n"/>
      <c r="O72" s="12" t="n"/>
      <c r="P72" s="12" t="n"/>
      <c r="Q72" s="12" t="n"/>
      <c r="R72" s="13" t="n"/>
      <c r="S72" s="12" t="n"/>
      <c r="T72" s="12" t="n"/>
      <c r="U72" s="14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3" t="n"/>
      <c r="I73" s="15">
        <f>IF(A73="","",IFERROR(INDEX(武功總表!$E$2:$E$201,MATCH(A73,武功總表!$A$2:$A$201,0)),0)+N(H73))</f>
        <v/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3" t="n"/>
      <c r="S73" s="12" t="n"/>
      <c r="T73" s="12" t="n"/>
      <c r="U73" s="14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3" t="n"/>
      <c r="I74" s="15">
        <f>IF(A74="","",IFERROR(INDEX(武功總表!$E$2:$E$201,MATCH(A74,武功總表!$A$2:$A$201,0)),0)+N(H74))</f>
        <v/>
      </c>
      <c r="J74" s="12" t="n"/>
      <c r="K74" s="12" t="n"/>
      <c r="L74" s="12" t="n"/>
      <c r="M74" s="12" t="n"/>
      <c r="N74" s="12" t="n"/>
      <c r="O74" s="12" t="n"/>
      <c r="P74" s="12" t="n"/>
      <c r="Q74" s="12" t="n"/>
      <c r="R74" s="13" t="n"/>
      <c r="S74" s="12" t="n"/>
      <c r="T74" s="12" t="n"/>
      <c r="U74" s="14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3" t="n"/>
      <c r="I75" s="15">
        <f>IF(A75="","",IFERROR(INDEX(武功總表!$E$2:$E$201,MATCH(A75,武功總表!$A$2:$A$201,0)),0)+N(H75))</f>
        <v/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3" t="n"/>
      <c r="S75" s="12" t="n"/>
      <c r="T75" s="12" t="n"/>
      <c r="U75" s="14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3" t="n"/>
      <c r="I76" s="15">
        <f>IF(A76="","",IFERROR(INDEX(武功總表!$E$2:$E$201,MATCH(A76,武功總表!$A$2:$A$201,0)),0)+N(H76))</f>
        <v/>
      </c>
      <c r="J76" s="12" t="n"/>
      <c r="K76" s="12" t="n"/>
      <c r="L76" s="12" t="n"/>
      <c r="M76" s="12" t="n"/>
      <c r="N76" s="12" t="n"/>
      <c r="O76" s="12" t="n"/>
      <c r="P76" s="12" t="n"/>
      <c r="Q76" s="12" t="n"/>
      <c r="R76" s="13" t="n"/>
      <c r="S76" s="12" t="n"/>
      <c r="T76" s="12" t="n"/>
      <c r="U76" s="14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3" t="n"/>
      <c r="I77" s="15">
        <f>IF(A77="","",IFERROR(INDEX(武功總表!$E$2:$E$201,MATCH(A77,武功總表!$A$2:$A$201,0)),0)+N(H77))</f>
        <v/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3" t="n"/>
      <c r="S77" s="12" t="n"/>
      <c r="T77" s="12" t="n"/>
      <c r="U77" s="14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3" t="n"/>
      <c r="I78" s="15">
        <f>IF(A78="","",IFERROR(INDEX(武功總表!$E$2:$E$201,MATCH(A78,武功總表!$A$2:$A$201,0)),0)+N(H78))</f>
        <v/>
      </c>
      <c r="J78" s="12" t="n"/>
      <c r="K78" s="12" t="n"/>
      <c r="L78" s="12" t="n"/>
      <c r="M78" s="12" t="n"/>
      <c r="N78" s="12" t="n"/>
      <c r="O78" s="12" t="n"/>
      <c r="P78" s="12" t="n"/>
      <c r="Q78" s="12" t="n"/>
      <c r="R78" s="13" t="n"/>
      <c r="S78" s="12" t="n"/>
      <c r="T78" s="12" t="n"/>
      <c r="U78" s="14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3" t="n"/>
      <c r="I79" s="15">
        <f>IF(A79="","",IFERROR(INDEX(武功總表!$E$2:$E$201,MATCH(A79,武功總表!$A$2:$A$201,0)),0)+N(H79))</f>
        <v/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3" t="n"/>
      <c r="S79" s="12" t="n"/>
      <c r="T79" s="12" t="n"/>
      <c r="U79" s="14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3" t="n"/>
      <c r="I80" s="15">
        <f>IF(A80="","",IFERROR(INDEX(武功總表!$E$2:$E$201,MATCH(A80,武功總表!$A$2:$A$201,0)),0)+N(H80))</f>
        <v/>
      </c>
      <c r="J80" s="12" t="n"/>
      <c r="K80" s="12" t="n"/>
      <c r="L80" s="12" t="n"/>
      <c r="M80" s="12" t="n"/>
      <c r="N80" s="12" t="n"/>
      <c r="O80" s="12" t="n"/>
      <c r="P80" s="12" t="n"/>
      <c r="Q80" s="12" t="n"/>
      <c r="R80" s="13" t="n"/>
      <c r="S80" s="12" t="n"/>
      <c r="T80" s="12" t="n"/>
      <c r="U80" s="14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3" t="n"/>
      <c r="I81" s="15">
        <f>IF(A81="","",IFERROR(INDEX(武功總表!$E$2:$E$201,MATCH(A81,武功總表!$A$2:$A$201,0)),0)+N(H81))</f>
        <v/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3" t="n"/>
      <c r="S81" s="12" t="n"/>
      <c r="T81" s="12" t="n"/>
      <c r="U81" s="14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3" t="n"/>
      <c r="I82" s="15">
        <f>IF(A82="","",IFERROR(INDEX(武功總表!$E$2:$E$201,MATCH(A82,武功總表!$A$2:$A$201,0)),0)+N(H82))</f>
        <v/>
      </c>
      <c r="J82" s="12" t="n"/>
      <c r="K82" s="12" t="n"/>
      <c r="L82" s="12" t="n"/>
      <c r="M82" s="12" t="n"/>
      <c r="N82" s="12" t="n"/>
      <c r="O82" s="12" t="n"/>
      <c r="P82" s="12" t="n"/>
      <c r="Q82" s="12" t="n"/>
      <c r="R82" s="13" t="n"/>
      <c r="S82" s="12" t="n"/>
      <c r="T82" s="12" t="n"/>
      <c r="U82" s="14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3" t="n"/>
      <c r="I83" s="15">
        <f>IF(A83="","",IFERROR(INDEX(武功總表!$E$2:$E$201,MATCH(A83,武功總表!$A$2:$A$201,0)),0)+N(H83))</f>
        <v/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3" t="n"/>
      <c r="S83" s="12" t="n"/>
      <c r="T83" s="12" t="n"/>
      <c r="U83" s="14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3" t="n"/>
      <c r="I84" s="15">
        <f>IF(A84="","",IFERROR(INDEX(武功總表!$E$2:$E$201,MATCH(A84,武功總表!$A$2:$A$201,0)),0)+N(H84))</f>
        <v/>
      </c>
      <c r="J84" s="12" t="n"/>
      <c r="K84" s="12" t="n"/>
      <c r="L84" s="12" t="n"/>
      <c r="M84" s="12" t="n"/>
      <c r="N84" s="12" t="n"/>
      <c r="O84" s="12" t="n"/>
      <c r="P84" s="12" t="n"/>
      <c r="Q84" s="12" t="n"/>
      <c r="R84" s="13" t="n"/>
      <c r="S84" s="12" t="n"/>
      <c r="T84" s="12" t="n"/>
      <c r="U84" s="14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3" t="n"/>
      <c r="I85" s="15">
        <f>IF(A85="","",IFERROR(INDEX(武功總表!$E$2:$E$201,MATCH(A85,武功總表!$A$2:$A$201,0)),0)+N(H85))</f>
        <v/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3" t="n"/>
      <c r="S85" s="12" t="n"/>
      <c r="T85" s="12" t="n"/>
      <c r="U85" s="14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3" t="n"/>
      <c r="I86" s="15">
        <f>IF(A86="","",IFERROR(INDEX(武功總表!$E$2:$E$201,MATCH(A86,武功總表!$A$2:$A$201,0)),0)+N(H86))</f>
        <v/>
      </c>
      <c r="J86" s="12" t="n"/>
      <c r="K86" s="12" t="n"/>
      <c r="L86" s="12" t="n"/>
      <c r="M86" s="12" t="n"/>
      <c r="N86" s="12" t="n"/>
      <c r="O86" s="12" t="n"/>
      <c r="P86" s="12" t="n"/>
      <c r="Q86" s="12" t="n"/>
      <c r="R86" s="13" t="n"/>
      <c r="S86" s="12" t="n"/>
      <c r="T86" s="12" t="n"/>
      <c r="U86" s="14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3" t="n"/>
      <c r="I87" s="15">
        <f>IF(A87="","",IFERROR(INDEX(武功總表!$E$2:$E$201,MATCH(A87,武功總表!$A$2:$A$201,0)),0)+N(H87))</f>
        <v/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3" t="n"/>
      <c r="S87" s="12" t="n"/>
      <c r="T87" s="12" t="n"/>
      <c r="U87" s="14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3" t="n"/>
      <c r="I88" s="15">
        <f>IF(A88="","",IFERROR(INDEX(武功總表!$E$2:$E$201,MATCH(A88,武功總表!$A$2:$A$201,0)),0)+N(H88))</f>
        <v/>
      </c>
      <c r="J88" s="12" t="n"/>
      <c r="K88" s="12" t="n"/>
      <c r="L88" s="12" t="n"/>
      <c r="M88" s="12" t="n"/>
      <c r="N88" s="12" t="n"/>
      <c r="O88" s="12" t="n"/>
      <c r="P88" s="12" t="n"/>
      <c r="Q88" s="12" t="n"/>
      <c r="R88" s="13" t="n"/>
      <c r="S88" s="12" t="n"/>
      <c r="T88" s="12" t="n"/>
      <c r="U88" s="14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3" t="n"/>
      <c r="I89" s="15">
        <f>IF(A89="","",IFERROR(INDEX(武功總表!$E$2:$E$201,MATCH(A89,武功總表!$A$2:$A$201,0)),0)+N(H89))</f>
        <v/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3" t="n"/>
      <c r="S89" s="12" t="n"/>
      <c r="T89" s="12" t="n"/>
      <c r="U89" s="14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3" t="n"/>
      <c r="I90" s="15">
        <f>IF(A90="","",IFERROR(INDEX(武功總表!$E$2:$E$201,MATCH(A90,武功總表!$A$2:$A$201,0)),0)+N(H90))</f>
        <v/>
      </c>
      <c r="J90" s="12" t="n"/>
      <c r="K90" s="12" t="n"/>
      <c r="L90" s="12" t="n"/>
      <c r="M90" s="12" t="n"/>
      <c r="N90" s="12" t="n"/>
      <c r="O90" s="12" t="n"/>
      <c r="P90" s="12" t="n"/>
      <c r="Q90" s="12" t="n"/>
      <c r="R90" s="13" t="n"/>
      <c r="S90" s="12" t="n"/>
      <c r="T90" s="12" t="n"/>
      <c r="U90" s="14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3" t="n"/>
      <c r="I91" s="15">
        <f>IF(A91="","",IFERROR(INDEX(武功總表!$E$2:$E$201,MATCH(A91,武功總表!$A$2:$A$201,0)),0)+N(H91))</f>
        <v/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3" t="n"/>
      <c r="S91" s="12" t="n"/>
      <c r="T91" s="12" t="n"/>
      <c r="U91" s="14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3" t="n"/>
      <c r="I92" s="15">
        <f>IF(A92="","",IFERROR(INDEX(武功總表!$E$2:$E$201,MATCH(A92,武功總表!$A$2:$A$201,0)),0)+N(H92))</f>
        <v/>
      </c>
      <c r="J92" s="12" t="n"/>
      <c r="K92" s="12" t="n"/>
      <c r="L92" s="12" t="n"/>
      <c r="M92" s="12" t="n"/>
      <c r="N92" s="12" t="n"/>
      <c r="O92" s="12" t="n"/>
      <c r="P92" s="12" t="n"/>
      <c r="Q92" s="12" t="n"/>
      <c r="R92" s="13" t="n"/>
      <c r="S92" s="12" t="n"/>
      <c r="T92" s="12" t="n"/>
      <c r="U92" s="14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3" t="n"/>
      <c r="I93" s="15">
        <f>IF(A93="","",IFERROR(INDEX(武功總表!$E$2:$E$201,MATCH(A93,武功總表!$A$2:$A$201,0)),0)+N(H93))</f>
        <v/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3" t="n"/>
      <c r="S93" s="12" t="n"/>
      <c r="T93" s="12" t="n"/>
      <c r="U93" s="14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3" t="n"/>
      <c r="I94" s="15">
        <f>IF(A94="","",IFERROR(INDEX(武功總表!$E$2:$E$201,MATCH(A94,武功總表!$A$2:$A$201,0)),0)+N(H94))</f>
        <v/>
      </c>
      <c r="J94" s="12" t="n"/>
      <c r="K94" s="12" t="n"/>
      <c r="L94" s="12" t="n"/>
      <c r="M94" s="12" t="n"/>
      <c r="N94" s="12" t="n"/>
      <c r="O94" s="12" t="n"/>
      <c r="P94" s="12" t="n"/>
      <c r="Q94" s="12" t="n"/>
      <c r="R94" s="13" t="n"/>
      <c r="S94" s="12" t="n"/>
      <c r="T94" s="12" t="n"/>
      <c r="U94" s="14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3" t="n"/>
      <c r="I95" s="15">
        <f>IF(A95="","",IFERROR(INDEX(武功總表!$E$2:$E$201,MATCH(A95,武功總表!$A$2:$A$201,0)),0)+N(H95))</f>
        <v/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3" t="n"/>
      <c r="S95" s="12" t="n"/>
      <c r="T95" s="12" t="n"/>
      <c r="U95" s="14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3" t="n"/>
      <c r="I96" s="15">
        <f>IF(A96="","",IFERROR(INDEX(武功總表!$E$2:$E$201,MATCH(A96,武功總表!$A$2:$A$201,0)),0)+N(H96))</f>
        <v/>
      </c>
      <c r="J96" s="12" t="n"/>
      <c r="K96" s="12" t="n"/>
      <c r="L96" s="12" t="n"/>
      <c r="M96" s="12" t="n"/>
      <c r="N96" s="12" t="n"/>
      <c r="O96" s="12" t="n"/>
      <c r="P96" s="12" t="n"/>
      <c r="Q96" s="12" t="n"/>
      <c r="R96" s="13" t="n"/>
      <c r="S96" s="12" t="n"/>
      <c r="T96" s="12" t="n"/>
      <c r="U96" s="14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3" t="n"/>
      <c r="I97" s="15">
        <f>IF(A97="","",IFERROR(INDEX(武功總表!$E$2:$E$201,MATCH(A97,武功總表!$A$2:$A$201,0)),0)+N(H97))</f>
        <v/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3" t="n"/>
      <c r="S97" s="12" t="n"/>
      <c r="T97" s="12" t="n"/>
      <c r="U97" s="14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3" t="n"/>
      <c r="I98" s="15">
        <f>IF(A98="","",IFERROR(INDEX(武功總表!$E$2:$E$201,MATCH(A98,武功總表!$A$2:$A$201,0)),0)+N(H98))</f>
        <v/>
      </c>
      <c r="J98" s="12" t="n"/>
      <c r="K98" s="12" t="n"/>
      <c r="L98" s="12" t="n"/>
      <c r="M98" s="12" t="n"/>
      <c r="N98" s="12" t="n"/>
      <c r="O98" s="12" t="n"/>
      <c r="P98" s="12" t="n"/>
      <c r="Q98" s="12" t="n"/>
      <c r="R98" s="13" t="n"/>
      <c r="S98" s="12" t="n"/>
      <c r="T98" s="12" t="n"/>
      <c r="U98" s="14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3" t="n"/>
      <c r="I99" s="15">
        <f>IF(A99="","",IFERROR(INDEX(武功總表!$E$2:$E$201,MATCH(A99,武功總表!$A$2:$A$201,0)),0)+N(H99))</f>
        <v/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3" t="n"/>
      <c r="S99" s="12" t="n"/>
      <c r="T99" s="12" t="n"/>
      <c r="U99" s="14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3" t="n"/>
      <c r="I100" s="15">
        <f>IF(A100="","",IFERROR(INDEX(武功總表!$E$2:$E$201,MATCH(A100,武功總表!$A$2:$A$201,0)),0)+N(H100))</f>
        <v/>
      </c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3" t="n"/>
      <c r="S100" s="12" t="n"/>
      <c r="T100" s="12" t="n"/>
      <c r="U100" s="14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3" t="n"/>
      <c r="I101" s="15">
        <f>IF(A101="","",IFERROR(INDEX(武功總表!$E$2:$E$201,MATCH(A101,武功總表!$A$2:$A$201,0)),0)+N(H101))</f>
        <v/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3" t="n"/>
      <c r="S101" s="12" t="n"/>
      <c r="T101" s="12" t="n"/>
      <c r="U101" s="14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3" t="n"/>
      <c r="I102" s="15">
        <f>IF(A102="","",IFERROR(INDEX(武功總表!$E$2:$E$201,MATCH(A102,武功總表!$A$2:$A$201,0)),0)+N(H102))</f>
        <v/>
      </c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3" t="n"/>
      <c r="S102" s="12" t="n"/>
      <c r="T102" s="12" t="n"/>
      <c r="U102" s="14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3" t="n"/>
      <c r="I103" s="15">
        <f>IF(A103="","",IFERROR(INDEX(武功總表!$E$2:$E$201,MATCH(A103,武功總表!$A$2:$A$201,0)),0)+N(H103))</f>
        <v/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3" t="n"/>
      <c r="S103" s="12" t="n"/>
      <c r="T103" s="12" t="n"/>
      <c r="U103" s="14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3" t="n"/>
      <c r="I104" s="15">
        <f>IF(A104="","",IFERROR(INDEX(武功總表!$E$2:$E$201,MATCH(A104,武功總表!$A$2:$A$201,0)),0)+N(H104))</f>
        <v/>
      </c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3" t="n"/>
      <c r="S104" s="12" t="n"/>
      <c r="T104" s="12" t="n"/>
      <c r="U104" s="14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3" t="n"/>
      <c r="I105" s="15">
        <f>IF(A105="","",IFERROR(INDEX(武功總表!$E$2:$E$201,MATCH(A105,武功總表!$A$2:$A$201,0)),0)+N(H105))</f>
        <v/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3" t="n"/>
      <c r="S105" s="12" t="n"/>
      <c r="T105" s="12" t="n"/>
      <c r="U105" s="14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3" t="n"/>
      <c r="I106" s="15">
        <f>IF(A106="","",IFERROR(INDEX(武功總表!$E$2:$E$201,MATCH(A106,武功總表!$A$2:$A$201,0)),0)+N(H106))</f>
        <v/>
      </c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3" t="n"/>
      <c r="S106" s="12" t="n"/>
      <c r="T106" s="12" t="n"/>
      <c r="U106" s="14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3" t="n"/>
      <c r="I107" s="15">
        <f>IF(A107="","",IFERROR(INDEX(武功總表!$E$2:$E$201,MATCH(A107,武功總表!$A$2:$A$201,0)),0)+N(H107))</f>
        <v/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3" t="n"/>
      <c r="S107" s="12" t="n"/>
      <c r="T107" s="12" t="n"/>
      <c r="U107" s="14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3" t="n"/>
      <c r="I108" s="15">
        <f>IF(A108="","",IFERROR(INDEX(武功總表!$E$2:$E$201,MATCH(A108,武功總表!$A$2:$A$201,0)),0)+N(H108))</f>
        <v/>
      </c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3" t="n"/>
      <c r="S108" s="12" t="n"/>
      <c r="T108" s="12" t="n"/>
      <c r="U108" s="14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3" t="n"/>
      <c r="I109" s="15">
        <f>IF(A109="","",IFERROR(INDEX(武功總表!$E$2:$E$201,MATCH(A109,武功總表!$A$2:$A$201,0)),0)+N(H109))</f>
        <v/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3" t="n"/>
      <c r="S109" s="12" t="n"/>
      <c r="T109" s="12" t="n"/>
      <c r="U109" s="14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3" t="n"/>
      <c r="I110" s="15">
        <f>IF(A110="","",IFERROR(INDEX(武功總表!$E$2:$E$201,MATCH(A110,武功總表!$A$2:$A$201,0)),0)+N(H110))</f>
        <v/>
      </c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3" t="n"/>
      <c r="S110" s="12" t="n"/>
      <c r="T110" s="12" t="n"/>
      <c r="U110" s="14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3" t="n"/>
      <c r="I111" s="15">
        <f>IF(A111="","",IFERROR(INDEX(武功總表!$E$2:$E$201,MATCH(A111,武功總表!$A$2:$A$201,0)),0)+N(H111))</f>
        <v/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3" t="n"/>
      <c r="S111" s="12" t="n"/>
      <c r="T111" s="12" t="n"/>
      <c r="U111" s="14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3" t="n"/>
      <c r="I112" s="15">
        <f>IF(A112="","",IFERROR(INDEX(武功總表!$E$2:$E$201,MATCH(A112,武功總表!$A$2:$A$201,0)),0)+N(H112))</f>
        <v/>
      </c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3" t="n"/>
      <c r="S112" s="12" t="n"/>
      <c r="T112" s="12" t="n"/>
      <c r="U112" s="14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3" t="n"/>
      <c r="I113" s="15">
        <f>IF(A113="","",IFERROR(INDEX(武功總表!$E$2:$E$201,MATCH(A113,武功總表!$A$2:$A$201,0)),0)+N(H113))</f>
        <v/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3" t="n"/>
      <c r="S113" s="12" t="n"/>
      <c r="T113" s="12" t="n"/>
      <c r="U113" s="14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3" t="n"/>
      <c r="I114" s="15">
        <f>IF(A114="","",IFERROR(INDEX(武功總表!$E$2:$E$201,MATCH(A114,武功總表!$A$2:$A$201,0)),0)+N(H114))</f>
        <v/>
      </c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3" t="n"/>
      <c r="S114" s="12" t="n"/>
      <c r="T114" s="12" t="n"/>
      <c r="U114" s="14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3" t="n"/>
      <c r="I115" s="15">
        <f>IF(A115="","",IFERROR(INDEX(武功總表!$E$2:$E$201,MATCH(A115,武功總表!$A$2:$A$201,0)),0)+N(H115))</f>
        <v/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3" t="n"/>
      <c r="S115" s="12" t="n"/>
      <c r="T115" s="12" t="n"/>
      <c r="U115" s="14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3" t="n"/>
      <c r="I116" s="15">
        <f>IF(A116="","",IFERROR(INDEX(武功總表!$E$2:$E$201,MATCH(A116,武功總表!$A$2:$A$201,0)),0)+N(H116))</f>
        <v/>
      </c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3" t="n"/>
      <c r="S116" s="12" t="n"/>
      <c r="T116" s="12" t="n"/>
      <c r="U116" s="14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3" t="n"/>
      <c r="I117" s="15">
        <f>IF(A117="","",IFERROR(INDEX(武功總表!$E$2:$E$201,MATCH(A117,武功總表!$A$2:$A$201,0)),0)+N(H117))</f>
        <v/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3" t="n"/>
      <c r="S117" s="12" t="n"/>
      <c r="T117" s="12" t="n"/>
      <c r="U117" s="14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3" t="n"/>
      <c r="I118" s="15">
        <f>IF(A118="","",IFERROR(INDEX(武功總表!$E$2:$E$201,MATCH(A118,武功總表!$A$2:$A$201,0)),0)+N(H118))</f>
        <v/>
      </c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3" t="n"/>
      <c r="S118" s="12" t="n"/>
      <c r="T118" s="12" t="n"/>
      <c r="U118" s="14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3" t="n"/>
      <c r="I119" s="15">
        <f>IF(A119="","",IFERROR(INDEX(武功總表!$E$2:$E$201,MATCH(A119,武功總表!$A$2:$A$201,0)),0)+N(H119))</f>
        <v/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3" t="n"/>
      <c r="S119" s="12" t="n"/>
      <c r="T119" s="12" t="n"/>
      <c r="U119" s="14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3" t="n"/>
      <c r="I120" s="15">
        <f>IF(A120="","",IFERROR(INDEX(武功總表!$E$2:$E$201,MATCH(A120,武功總表!$A$2:$A$201,0)),0)+N(H120))</f>
        <v/>
      </c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3" t="n"/>
      <c r="S120" s="12" t="n"/>
      <c r="T120" s="12" t="n"/>
      <c r="U120" s="14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3" t="n"/>
      <c r="I121" s="15">
        <f>IF(A121="","",IFERROR(INDEX(武功總表!$E$2:$E$201,MATCH(A121,武功總表!$A$2:$A$201,0)),0)+N(H121))</f>
        <v/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3" t="n"/>
      <c r="S121" s="12" t="n"/>
      <c r="T121" s="12" t="n"/>
      <c r="U121" s="14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3" t="n"/>
      <c r="I122" s="15">
        <f>IF(A122="","",IFERROR(INDEX(武功總表!$E$2:$E$201,MATCH(A122,武功總表!$A$2:$A$201,0)),0)+N(H122))</f>
        <v/>
      </c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3" t="n"/>
      <c r="S122" s="12" t="n"/>
      <c r="T122" s="12" t="n"/>
      <c r="U122" s="14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3" t="n"/>
      <c r="I123" s="15">
        <f>IF(A123="","",IFERROR(INDEX(武功總表!$E$2:$E$201,MATCH(A123,武功總表!$A$2:$A$201,0)),0)+N(H123))</f>
        <v/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3" t="n"/>
      <c r="S123" s="12" t="n"/>
      <c r="T123" s="12" t="n"/>
      <c r="U123" s="14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3" t="n"/>
      <c r="I124" s="15">
        <f>IF(A124="","",IFERROR(INDEX(武功總表!$E$2:$E$201,MATCH(A124,武功總表!$A$2:$A$201,0)),0)+N(H124))</f>
        <v/>
      </c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3" t="n"/>
      <c r="S124" s="12" t="n"/>
      <c r="T124" s="12" t="n"/>
      <c r="U124" s="14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3" t="n"/>
      <c r="I125" s="15">
        <f>IF(A125="","",IFERROR(INDEX(武功總表!$E$2:$E$201,MATCH(A125,武功總表!$A$2:$A$201,0)),0)+N(H125))</f>
        <v/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3" t="n"/>
      <c r="S125" s="12" t="n"/>
      <c r="T125" s="12" t="n"/>
      <c r="U125" s="14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3" t="n"/>
      <c r="I126" s="15">
        <f>IF(A126="","",IFERROR(INDEX(武功總表!$E$2:$E$201,MATCH(A126,武功總表!$A$2:$A$201,0)),0)+N(H126))</f>
        <v/>
      </c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3" t="n"/>
      <c r="S126" s="12" t="n"/>
      <c r="T126" s="12" t="n"/>
      <c r="U126" s="14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3" t="n"/>
      <c r="I127" s="15">
        <f>IF(A127="","",IFERROR(INDEX(武功總表!$E$2:$E$201,MATCH(A127,武功總表!$A$2:$A$201,0)),0)+N(H127))</f>
        <v/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3" t="n"/>
      <c r="S127" s="12" t="n"/>
      <c r="T127" s="12" t="n"/>
      <c r="U127" s="14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3" t="n"/>
      <c r="I128" s="15">
        <f>IF(A128="","",IFERROR(INDEX(武功總表!$E$2:$E$201,MATCH(A128,武功總表!$A$2:$A$201,0)),0)+N(H128))</f>
        <v/>
      </c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3" t="n"/>
      <c r="S128" s="12" t="n"/>
      <c r="T128" s="12" t="n"/>
      <c r="U128" s="14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3" t="n"/>
      <c r="I129" s="15">
        <f>IF(A129="","",IFERROR(INDEX(武功總表!$E$2:$E$201,MATCH(A129,武功總表!$A$2:$A$201,0)),0)+N(H129))</f>
        <v/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3" t="n"/>
      <c r="S129" s="12" t="n"/>
      <c r="T129" s="12" t="n"/>
      <c r="U129" s="14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3" t="n"/>
      <c r="I130" s="15">
        <f>IF(A130="","",IFERROR(INDEX(武功總表!$E$2:$E$201,MATCH(A130,武功總表!$A$2:$A$201,0)),0)+N(H130))</f>
        <v/>
      </c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3" t="n"/>
      <c r="S130" s="12" t="n"/>
      <c r="T130" s="12" t="n"/>
      <c r="U130" s="14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3" t="n"/>
      <c r="I131" s="15">
        <f>IF(A131="","",IFERROR(INDEX(武功總表!$E$2:$E$201,MATCH(A131,武功總表!$A$2:$A$201,0)),0)+N(H131))</f>
        <v/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3" t="n"/>
      <c r="S131" s="12" t="n"/>
      <c r="T131" s="12" t="n"/>
      <c r="U131" s="14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3" t="n"/>
      <c r="I132" s="15">
        <f>IF(A132="","",IFERROR(INDEX(武功總表!$E$2:$E$201,MATCH(A132,武功總表!$A$2:$A$201,0)),0)+N(H132))</f>
        <v/>
      </c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3" t="n"/>
      <c r="S132" s="12" t="n"/>
      <c r="T132" s="12" t="n"/>
      <c r="U132" s="14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3" t="n"/>
      <c r="I133" s="15">
        <f>IF(A133="","",IFERROR(INDEX(武功總表!$E$2:$E$201,MATCH(A133,武功總表!$A$2:$A$201,0)),0)+N(H133))</f>
        <v/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3" t="n"/>
      <c r="S133" s="12" t="n"/>
      <c r="T133" s="12" t="n"/>
      <c r="U133" s="14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3" t="n"/>
      <c r="I134" s="15">
        <f>IF(A134="","",IFERROR(INDEX(武功總表!$E$2:$E$201,MATCH(A134,武功總表!$A$2:$A$201,0)),0)+N(H134))</f>
        <v/>
      </c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3" t="n"/>
      <c r="S134" s="12" t="n"/>
      <c r="T134" s="12" t="n"/>
      <c r="U134" s="14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3" t="n"/>
      <c r="I135" s="15">
        <f>IF(A135="","",IFERROR(INDEX(武功總表!$E$2:$E$201,MATCH(A135,武功總表!$A$2:$A$201,0)),0)+N(H135))</f>
        <v/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3" t="n"/>
      <c r="S135" s="12" t="n"/>
      <c r="T135" s="12" t="n"/>
      <c r="U135" s="14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3" t="n"/>
      <c r="I136" s="15">
        <f>IF(A136="","",IFERROR(INDEX(武功總表!$E$2:$E$201,MATCH(A136,武功總表!$A$2:$A$201,0)),0)+N(H136))</f>
        <v/>
      </c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3" t="n"/>
      <c r="S136" s="12" t="n"/>
      <c r="T136" s="12" t="n"/>
      <c r="U136" s="14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3" t="n"/>
      <c r="I137" s="15">
        <f>IF(A137="","",IFERROR(INDEX(武功總表!$E$2:$E$201,MATCH(A137,武功總表!$A$2:$A$201,0)),0)+N(H137))</f>
        <v/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3" t="n"/>
      <c r="S137" s="12" t="n"/>
      <c r="T137" s="12" t="n"/>
      <c r="U137" s="14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3" t="n"/>
      <c r="I138" s="15">
        <f>IF(A138="","",IFERROR(INDEX(武功總表!$E$2:$E$201,MATCH(A138,武功總表!$A$2:$A$201,0)),0)+N(H138))</f>
        <v/>
      </c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3" t="n"/>
      <c r="S138" s="12" t="n"/>
      <c r="T138" s="12" t="n"/>
      <c r="U138" s="14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3" t="n"/>
      <c r="I139" s="15">
        <f>IF(A139="","",IFERROR(INDEX(武功總表!$E$2:$E$201,MATCH(A139,武功總表!$A$2:$A$201,0)),0)+N(H139))</f>
        <v/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3" t="n"/>
      <c r="S139" s="12" t="n"/>
      <c r="T139" s="12" t="n"/>
      <c r="U139" s="14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3" t="n"/>
      <c r="I140" s="15">
        <f>IF(A140="","",IFERROR(INDEX(武功總表!$E$2:$E$201,MATCH(A140,武功總表!$A$2:$A$201,0)),0)+N(H140))</f>
        <v/>
      </c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3" t="n"/>
      <c r="S140" s="12" t="n"/>
      <c r="T140" s="12" t="n"/>
      <c r="U140" s="14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3" t="n"/>
      <c r="I141" s="15">
        <f>IF(A141="","",IFERROR(INDEX(武功總表!$E$2:$E$201,MATCH(A141,武功總表!$A$2:$A$201,0)),0)+N(H141))</f>
        <v/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3" t="n"/>
      <c r="S141" s="12" t="n"/>
      <c r="T141" s="12" t="n"/>
      <c r="U141" s="14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3" t="n"/>
      <c r="I142" s="15">
        <f>IF(A142="","",IFERROR(INDEX(武功總表!$E$2:$E$201,MATCH(A142,武功總表!$A$2:$A$201,0)),0)+N(H142))</f>
        <v/>
      </c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3" t="n"/>
      <c r="S142" s="12" t="n"/>
      <c r="T142" s="12" t="n"/>
      <c r="U142" s="14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3" t="n"/>
      <c r="I143" s="15">
        <f>IF(A143="","",IFERROR(INDEX(武功總表!$E$2:$E$201,MATCH(A143,武功總表!$A$2:$A$201,0)),0)+N(H143))</f>
        <v/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3" t="n"/>
      <c r="S143" s="12" t="n"/>
      <c r="T143" s="12" t="n"/>
      <c r="U143" s="14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3" t="n"/>
      <c r="I144" s="15">
        <f>IF(A144="","",IFERROR(INDEX(武功總表!$E$2:$E$201,MATCH(A144,武功總表!$A$2:$A$201,0)),0)+N(H144))</f>
        <v/>
      </c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3" t="n"/>
      <c r="S144" s="12" t="n"/>
      <c r="T144" s="12" t="n"/>
      <c r="U144" s="14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3" t="n"/>
      <c r="I145" s="15">
        <f>IF(A145="","",IFERROR(INDEX(武功總表!$E$2:$E$201,MATCH(A145,武功總表!$A$2:$A$201,0)),0)+N(H145))</f>
        <v/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3" t="n"/>
      <c r="S145" s="12" t="n"/>
      <c r="T145" s="12" t="n"/>
      <c r="U145" s="14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3" t="n"/>
      <c r="I146" s="15">
        <f>IF(A146="","",IFERROR(INDEX(武功總表!$E$2:$E$201,MATCH(A146,武功總表!$A$2:$A$201,0)),0)+N(H146))</f>
        <v/>
      </c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3" t="n"/>
      <c r="S146" s="12" t="n"/>
      <c r="T146" s="12" t="n"/>
      <c r="U146" s="14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3" t="n"/>
      <c r="I147" s="15">
        <f>IF(A147="","",IFERROR(INDEX(武功總表!$E$2:$E$201,MATCH(A147,武功總表!$A$2:$A$201,0)),0)+N(H147))</f>
        <v/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3" t="n"/>
      <c r="S147" s="12" t="n"/>
      <c r="T147" s="12" t="n"/>
      <c r="U147" s="14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3" t="n"/>
      <c r="I148" s="15">
        <f>IF(A148="","",IFERROR(INDEX(武功總表!$E$2:$E$201,MATCH(A148,武功總表!$A$2:$A$201,0)),0)+N(H148))</f>
        <v/>
      </c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3" t="n"/>
      <c r="S148" s="12" t="n"/>
      <c r="T148" s="12" t="n"/>
      <c r="U148" s="14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3" t="n"/>
      <c r="I149" s="15">
        <f>IF(A149="","",IFERROR(INDEX(武功總表!$E$2:$E$201,MATCH(A149,武功總表!$A$2:$A$201,0)),0)+N(H149))</f>
        <v/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3" t="n"/>
      <c r="S149" s="12" t="n"/>
      <c r="T149" s="12" t="n"/>
      <c r="U149" s="14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3" t="n"/>
      <c r="I150" s="15">
        <f>IF(A150="","",IFERROR(INDEX(武功總表!$E$2:$E$201,MATCH(A150,武功總表!$A$2:$A$201,0)),0)+N(H150))</f>
        <v/>
      </c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3" t="n"/>
      <c r="S150" s="12" t="n"/>
      <c r="T150" s="12" t="n"/>
      <c r="U150" s="14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3" t="n"/>
      <c r="I151" s="15">
        <f>IF(A151="","",IFERROR(INDEX(武功總表!$E$2:$E$201,MATCH(A151,武功總表!$A$2:$A$201,0)),0)+N(H151))</f>
        <v/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3" t="n"/>
      <c r="S151" s="12" t="n"/>
      <c r="T151" s="12" t="n"/>
      <c r="U151" s="14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3" t="n"/>
      <c r="I152" s="15">
        <f>IF(A152="","",IFERROR(INDEX(武功總表!$E$2:$E$201,MATCH(A152,武功總表!$A$2:$A$201,0)),0)+N(H152))</f>
        <v/>
      </c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3" t="n"/>
      <c r="S152" s="12" t="n"/>
      <c r="T152" s="12" t="n"/>
      <c r="U152" s="14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3" t="n"/>
      <c r="I153" s="15">
        <f>IF(A153="","",IFERROR(INDEX(武功總表!$E$2:$E$201,MATCH(A153,武功總表!$A$2:$A$201,0)),0)+N(H153))</f>
        <v/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3" t="n"/>
      <c r="S153" s="12" t="n"/>
      <c r="T153" s="12" t="n"/>
      <c r="U153" s="14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3" t="n"/>
      <c r="I154" s="15">
        <f>IF(A154="","",IFERROR(INDEX(武功總表!$E$2:$E$201,MATCH(A154,武功總表!$A$2:$A$201,0)),0)+N(H154))</f>
        <v/>
      </c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3" t="n"/>
      <c r="S154" s="12" t="n"/>
      <c r="T154" s="12" t="n"/>
      <c r="U154" s="14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3" t="n"/>
      <c r="I155" s="15">
        <f>IF(A155="","",IFERROR(INDEX(武功總表!$E$2:$E$201,MATCH(A155,武功總表!$A$2:$A$201,0)),0)+N(H155))</f>
        <v/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3" t="n"/>
      <c r="S155" s="12" t="n"/>
      <c r="T155" s="12" t="n"/>
      <c r="U155" s="14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3" t="n"/>
      <c r="I156" s="15">
        <f>IF(A156="","",IFERROR(INDEX(武功總表!$E$2:$E$201,MATCH(A156,武功總表!$A$2:$A$201,0)),0)+N(H156))</f>
        <v/>
      </c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3" t="n"/>
      <c r="S156" s="12" t="n"/>
      <c r="T156" s="12" t="n"/>
      <c r="U156" s="14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3" t="n"/>
      <c r="I157" s="15">
        <f>IF(A157="","",IFERROR(INDEX(武功總表!$E$2:$E$201,MATCH(A157,武功總表!$A$2:$A$201,0)),0)+N(H157))</f>
        <v/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3" t="n"/>
      <c r="S157" s="12" t="n"/>
      <c r="T157" s="12" t="n"/>
      <c r="U157" s="14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3" t="n"/>
      <c r="I158" s="15">
        <f>IF(A158="","",IFERROR(INDEX(武功總表!$E$2:$E$201,MATCH(A158,武功總表!$A$2:$A$201,0)),0)+N(H158))</f>
        <v/>
      </c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3" t="n"/>
      <c r="S158" s="12" t="n"/>
      <c r="T158" s="12" t="n"/>
      <c r="U158" s="14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3" t="n"/>
      <c r="I159" s="15">
        <f>IF(A159="","",IFERROR(INDEX(武功總表!$E$2:$E$201,MATCH(A159,武功總表!$A$2:$A$201,0)),0)+N(H159))</f>
        <v/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3" t="n"/>
      <c r="S159" s="12" t="n"/>
      <c r="T159" s="12" t="n"/>
      <c r="U159" s="14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3" t="n"/>
      <c r="I160" s="15">
        <f>IF(A160="","",IFERROR(INDEX(武功總表!$E$2:$E$201,MATCH(A160,武功總表!$A$2:$A$201,0)),0)+N(H160))</f>
        <v/>
      </c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3" t="n"/>
      <c r="S160" s="12" t="n"/>
      <c r="T160" s="12" t="n"/>
      <c r="U160" s="14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3" t="n"/>
      <c r="I161" s="15">
        <f>IF(A161="","",IFERROR(INDEX(武功總表!$E$2:$E$201,MATCH(A161,武功總表!$A$2:$A$201,0)),0)+N(H161))</f>
        <v/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3" t="n"/>
      <c r="S161" s="12" t="n"/>
      <c r="T161" s="12" t="n"/>
      <c r="U161" s="14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3" t="n"/>
      <c r="I162" s="15">
        <f>IF(A162="","",IFERROR(INDEX(武功總表!$E$2:$E$201,MATCH(A162,武功總表!$A$2:$A$201,0)),0)+N(H162))</f>
        <v/>
      </c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3" t="n"/>
      <c r="S162" s="12" t="n"/>
      <c r="T162" s="12" t="n"/>
      <c r="U162" s="14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3" t="n"/>
      <c r="I163" s="15">
        <f>IF(A163="","",IFERROR(INDEX(武功總表!$E$2:$E$201,MATCH(A163,武功總表!$A$2:$A$201,0)),0)+N(H163))</f>
        <v/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3" t="n"/>
      <c r="S163" s="12" t="n"/>
      <c r="T163" s="12" t="n"/>
      <c r="U163" s="14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3" t="n"/>
      <c r="I164" s="15">
        <f>IF(A164="","",IFERROR(INDEX(武功總表!$E$2:$E$201,MATCH(A164,武功總表!$A$2:$A$201,0)),0)+N(H164))</f>
        <v/>
      </c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3" t="n"/>
      <c r="S164" s="12" t="n"/>
      <c r="T164" s="12" t="n"/>
      <c r="U164" s="14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3" t="n"/>
      <c r="I165" s="15">
        <f>IF(A165="","",IFERROR(INDEX(武功總表!$E$2:$E$201,MATCH(A165,武功總表!$A$2:$A$201,0)),0)+N(H165))</f>
        <v/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3" t="n"/>
      <c r="S165" s="12" t="n"/>
      <c r="T165" s="12" t="n"/>
      <c r="U165" s="14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3" t="n"/>
      <c r="I166" s="15">
        <f>IF(A166="","",IFERROR(INDEX(武功總表!$E$2:$E$201,MATCH(A166,武功總表!$A$2:$A$201,0)),0)+N(H166))</f>
        <v/>
      </c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3" t="n"/>
      <c r="S166" s="12" t="n"/>
      <c r="T166" s="12" t="n"/>
      <c r="U166" s="14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3" t="n"/>
      <c r="I167" s="15">
        <f>IF(A167="","",IFERROR(INDEX(武功總表!$E$2:$E$201,MATCH(A167,武功總表!$A$2:$A$201,0)),0)+N(H167))</f>
        <v/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3" t="n"/>
      <c r="S167" s="12" t="n"/>
      <c r="T167" s="12" t="n"/>
      <c r="U167" s="14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3" t="n"/>
      <c r="I168" s="15">
        <f>IF(A168="","",IFERROR(INDEX(武功總表!$E$2:$E$201,MATCH(A168,武功總表!$A$2:$A$201,0)),0)+N(H168))</f>
        <v/>
      </c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3" t="n"/>
      <c r="S168" s="12" t="n"/>
      <c r="T168" s="12" t="n"/>
      <c r="U168" s="14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3" t="n"/>
      <c r="I169" s="15">
        <f>IF(A169="","",IFERROR(INDEX(武功總表!$E$2:$E$201,MATCH(A169,武功總表!$A$2:$A$201,0)),0)+N(H169))</f>
        <v/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3" t="n"/>
      <c r="S169" s="12" t="n"/>
      <c r="T169" s="12" t="n"/>
      <c r="U169" s="14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3" t="n"/>
      <c r="I170" s="15">
        <f>IF(A170="","",IFERROR(INDEX(武功總表!$E$2:$E$201,MATCH(A170,武功總表!$A$2:$A$201,0)),0)+N(H170))</f>
        <v/>
      </c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3" t="n"/>
      <c r="S170" s="12" t="n"/>
      <c r="T170" s="12" t="n"/>
      <c r="U170" s="14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3" t="n"/>
      <c r="I171" s="15">
        <f>IF(A171="","",IFERROR(INDEX(武功總表!$E$2:$E$201,MATCH(A171,武功總表!$A$2:$A$201,0)),0)+N(H171))</f>
        <v/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3" t="n"/>
      <c r="S171" s="12" t="n"/>
      <c r="T171" s="12" t="n"/>
      <c r="U171" s="14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3" t="n"/>
      <c r="I172" s="15">
        <f>IF(A172="","",IFERROR(INDEX(武功總表!$E$2:$E$201,MATCH(A172,武功總表!$A$2:$A$201,0)),0)+N(H172))</f>
        <v/>
      </c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3" t="n"/>
      <c r="S172" s="12" t="n"/>
      <c r="T172" s="12" t="n"/>
      <c r="U172" s="14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3" t="n"/>
      <c r="I173" s="15">
        <f>IF(A173="","",IFERROR(INDEX(武功總表!$E$2:$E$201,MATCH(A173,武功總表!$A$2:$A$201,0)),0)+N(H173))</f>
        <v/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3" t="n"/>
      <c r="S173" s="12" t="n"/>
      <c r="T173" s="12" t="n"/>
      <c r="U173" s="14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3" t="n"/>
      <c r="I174" s="15">
        <f>IF(A174="","",IFERROR(INDEX(武功總表!$E$2:$E$201,MATCH(A174,武功總表!$A$2:$A$201,0)),0)+N(H174))</f>
        <v/>
      </c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3" t="n"/>
      <c r="S174" s="12" t="n"/>
      <c r="T174" s="12" t="n"/>
      <c r="U174" s="14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3" t="n"/>
      <c r="I175" s="15">
        <f>IF(A175="","",IFERROR(INDEX(武功總表!$E$2:$E$201,MATCH(A175,武功總表!$A$2:$A$201,0)),0)+N(H175))</f>
        <v/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3" t="n"/>
      <c r="S175" s="12" t="n"/>
      <c r="T175" s="12" t="n"/>
      <c r="U175" s="14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3" t="n"/>
      <c r="I176" s="15">
        <f>IF(A176="","",IFERROR(INDEX(武功總表!$E$2:$E$201,MATCH(A176,武功總表!$A$2:$A$201,0)),0)+N(H176))</f>
        <v/>
      </c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3" t="n"/>
      <c r="S176" s="12" t="n"/>
      <c r="T176" s="12" t="n"/>
      <c r="U176" s="14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3" t="n"/>
      <c r="I177" s="15">
        <f>IF(A177="","",IFERROR(INDEX(武功總表!$E$2:$E$201,MATCH(A177,武功總表!$A$2:$A$201,0)),0)+N(H177))</f>
        <v/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3" t="n"/>
      <c r="S177" s="12" t="n"/>
      <c r="T177" s="12" t="n"/>
      <c r="U177" s="14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3" t="n"/>
      <c r="I178" s="15">
        <f>IF(A178="","",IFERROR(INDEX(武功總表!$E$2:$E$201,MATCH(A178,武功總表!$A$2:$A$201,0)),0)+N(H178))</f>
        <v/>
      </c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3" t="n"/>
      <c r="S178" s="12" t="n"/>
      <c r="T178" s="12" t="n"/>
      <c r="U178" s="14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3" t="n"/>
      <c r="I179" s="15">
        <f>IF(A179="","",IFERROR(INDEX(武功總表!$E$2:$E$201,MATCH(A179,武功總表!$A$2:$A$201,0)),0)+N(H179))</f>
        <v/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3" t="n"/>
      <c r="S179" s="12" t="n"/>
      <c r="T179" s="12" t="n"/>
      <c r="U179" s="14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3" t="n"/>
      <c r="I180" s="15">
        <f>IF(A180="","",IFERROR(INDEX(武功總表!$E$2:$E$201,MATCH(A180,武功總表!$A$2:$A$201,0)),0)+N(H180))</f>
        <v/>
      </c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3" t="n"/>
      <c r="S180" s="12" t="n"/>
      <c r="T180" s="12" t="n"/>
      <c r="U180" s="14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3" t="n"/>
      <c r="I181" s="15">
        <f>IF(A181="","",IFERROR(INDEX(武功總表!$E$2:$E$201,MATCH(A181,武功總表!$A$2:$A$201,0)),0)+N(H181))</f>
        <v/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3" t="n"/>
      <c r="S181" s="12" t="n"/>
      <c r="T181" s="12" t="n"/>
      <c r="U181" s="14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3" t="n"/>
      <c r="I182" s="15">
        <f>IF(A182="","",IFERROR(INDEX(武功總表!$E$2:$E$201,MATCH(A182,武功總表!$A$2:$A$201,0)),0)+N(H182))</f>
        <v/>
      </c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3" t="n"/>
      <c r="S182" s="12" t="n"/>
      <c r="T182" s="12" t="n"/>
      <c r="U182" s="14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3" t="n"/>
      <c r="I183" s="15">
        <f>IF(A183="","",IFERROR(INDEX(武功總表!$E$2:$E$201,MATCH(A183,武功總表!$A$2:$A$201,0)),0)+N(H183))</f>
        <v/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3" t="n"/>
      <c r="S183" s="12" t="n"/>
      <c r="T183" s="12" t="n"/>
      <c r="U183" s="14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3" t="n"/>
      <c r="I184" s="15">
        <f>IF(A184="","",IFERROR(INDEX(武功總表!$E$2:$E$201,MATCH(A184,武功總表!$A$2:$A$201,0)),0)+N(H184))</f>
        <v/>
      </c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3" t="n"/>
      <c r="S184" s="12" t="n"/>
      <c r="T184" s="12" t="n"/>
      <c r="U184" s="14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3" t="n"/>
      <c r="I185" s="15">
        <f>IF(A185="","",IFERROR(INDEX(武功總表!$E$2:$E$201,MATCH(A185,武功總表!$A$2:$A$201,0)),0)+N(H185))</f>
        <v/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3" t="n"/>
      <c r="S185" s="12" t="n"/>
      <c r="T185" s="12" t="n"/>
      <c r="U185" s="14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3" t="n"/>
      <c r="I186" s="15">
        <f>IF(A186="","",IFERROR(INDEX(武功總表!$E$2:$E$201,MATCH(A186,武功總表!$A$2:$A$201,0)),0)+N(H186))</f>
        <v/>
      </c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3" t="n"/>
      <c r="S186" s="12" t="n"/>
      <c r="T186" s="12" t="n"/>
      <c r="U186" s="14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3" t="n"/>
      <c r="I187" s="15">
        <f>IF(A187="","",IFERROR(INDEX(武功總表!$E$2:$E$201,MATCH(A187,武功總表!$A$2:$A$201,0)),0)+N(H187))</f>
        <v/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3" t="n"/>
      <c r="S187" s="12" t="n"/>
      <c r="T187" s="12" t="n"/>
      <c r="U187" s="14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3" t="n"/>
      <c r="I188" s="15">
        <f>IF(A188="","",IFERROR(INDEX(武功總表!$E$2:$E$201,MATCH(A188,武功總表!$A$2:$A$201,0)),0)+N(H188))</f>
        <v/>
      </c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3" t="n"/>
      <c r="S188" s="12" t="n"/>
      <c r="T188" s="12" t="n"/>
      <c r="U188" s="14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3" t="n"/>
      <c r="I189" s="15">
        <f>IF(A189="","",IFERROR(INDEX(武功總表!$E$2:$E$201,MATCH(A189,武功總表!$A$2:$A$201,0)),0)+N(H189))</f>
        <v/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3" t="n"/>
      <c r="S189" s="12" t="n"/>
      <c r="T189" s="12" t="n"/>
      <c r="U189" s="14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3" t="n"/>
      <c r="I190" s="15">
        <f>IF(A190="","",IFERROR(INDEX(武功總表!$E$2:$E$201,MATCH(A190,武功總表!$A$2:$A$201,0)),0)+N(H190))</f>
        <v/>
      </c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3" t="n"/>
      <c r="S190" s="12" t="n"/>
      <c r="T190" s="12" t="n"/>
      <c r="U190" s="14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3" t="n"/>
      <c r="I191" s="15">
        <f>IF(A191="","",IFERROR(INDEX(武功總表!$E$2:$E$201,MATCH(A191,武功總表!$A$2:$A$201,0)),0)+N(H191))</f>
        <v/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3" t="n"/>
      <c r="S191" s="12" t="n"/>
      <c r="T191" s="12" t="n"/>
      <c r="U191" s="14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3" t="n"/>
      <c r="I192" s="15">
        <f>IF(A192="","",IFERROR(INDEX(武功總表!$E$2:$E$201,MATCH(A192,武功總表!$A$2:$A$201,0)),0)+N(H192))</f>
        <v/>
      </c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3" t="n"/>
      <c r="S192" s="12" t="n"/>
      <c r="T192" s="12" t="n"/>
      <c r="U192" s="14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3" t="n"/>
      <c r="I193" s="15">
        <f>IF(A193="","",IFERROR(INDEX(武功總表!$E$2:$E$201,MATCH(A193,武功總表!$A$2:$A$201,0)),0)+N(H193))</f>
        <v/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3" t="n"/>
      <c r="S193" s="12" t="n"/>
      <c r="T193" s="12" t="n"/>
      <c r="U193" s="14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3" t="n"/>
      <c r="I194" s="15">
        <f>IF(A194="","",IFERROR(INDEX(武功總表!$E$2:$E$201,MATCH(A194,武功總表!$A$2:$A$201,0)),0)+N(H194))</f>
        <v/>
      </c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3" t="n"/>
      <c r="S194" s="12" t="n"/>
      <c r="T194" s="12" t="n"/>
      <c r="U194" s="14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3" t="n"/>
      <c r="I195" s="15">
        <f>IF(A195="","",IFERROR(INDEX(武功總表!$E$2:$E$201,MATCH(A195,武功總表!$A$2:$A$201,0)),0)+N(H195))</f>
        <v/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3" t="n"/>
      <c r="S195" s="12" t="n"/>
      <c r="T195" s="12" t="n"/>
      <c r="U195" s="14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3" t="n"/>
      <c r="I196" s="15">
        <f>IF(A196="","",IFERROR(INDEX(武功總表!$E$2:$E$201,MATCH(A196,武功總表!$A$2:$A$201,0)),0)+N(H196))</f>
        <v/>
      </c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3" t="n"/>
      <c r="S196" s="12" t="n"/>
      <c r="T196" s="12" t="n"/>
      <c r="U196" s="14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3" t="n"/>
      <c r="I197" s="15">
        <f>IF(A197="","",IFERROR(INDEX(武功總表!$E$2:$E$201,MATCH(A197,武功總表!$A$2:$A$201,0)),0)+N(H197))</f>
        <v/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3" t="n"/>
      <c r="S197" s="12" t="n"/>
      <c r="T197" s="12" t="n"/>
      <c r="U197" s="14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3" t="n"/>
      <c r="I198" s="15">
        <f>IF(A198="","",IFERROR(INDEX(武功總表!$E$2:$E$201,MATCH(A198,武功總表!$A$2:$A$201,0)),0)+N(H198))</f>
        <v/>
      </c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3" t="n"/>
      <c r="S198" s="12" t="n"/>
      <c r="T198" s="12" t="n"/>
      <c r="U198" s="14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3" t="n"/>
      <c r="I199" s="15">
        <f>IF(A199="","",IFERROR(INDEX(武功總表!$E$2:$E$201,MATCH(A199,武功總表!$A$2:$A$201,0)),0)+N(H199))</f>
        <v/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3" t="n"/>
      <c r="S199" s="12" t="n"/>
      <c r="T199" s="12" t="n"/>
      <c r="U199" s="14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3" t="n"/>
      <c r="I200" s="15">
        <f>IF(A200="","",IFERROR(INDEX(武功總表!$E$2:$E$201,MATCH(A200,武功總表!$A$2:$A$201,0)),0)+N(H200))</f>
        <v/>
      </c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3" t="n"/>
      <c r="S200" s="12" t="n"/>
      <c r="T200" s="12" t="n"/>
      <c r="U200" s="14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3" t="n"/>
      <c r="I201" s="15">
        <f>IF(A201="","",IFERROR(INDEX(武功總表!$E$2:$E$201,MATCH(A201,武功總表!$A$2:$A$201,0)),0)+N(H201))</f>
        <v/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3" t="n"/>
      <c r="S201" s="12" t="n"/>
      <c r="T201" s="12" t="n"/>
      <c r="U201" s="14" t="n"/>
    </row>
  </sheetData>
  <dataValidations count="17">
    <dataValidation sqref="A2:A201" showDropDown="0" showInputMessage="0" showErrorMessage="1" allowBlank="1" error="請先在「武功總表」建立這個武功代號" type="list">
      <formula1>=武功總表!$A$2:$A$201</formula1>
    </dataValidation>
    <dataValidation sqref="B2:B201" showDropDown="0" showInputMessage="0" showErrorMessage="1" allowBlank="1" error="請填 1 到 30 的整數" type="whole" operator="between">
      <formula1>1</formula1>
      <formula2>30</formula2>
    </dataValidation>
    <dataValidation sqref="D2:D201" showDropDown="0" showInputMessage="0" showErrorMessage="1" allowBlank="1" error="請填 0 到 200 的整數" type="whole" operator="between">
      <formula1>0</formula1>
      <formula2>200</formula2>
    </dataValidation>
    <dataValidation sqref="E2:E201" showDropDown="0" showInputMessage="0" showErrorMessage="1" allowBlank="1" error="請填 -30 到 30 的整數" type="whole" operator="between">
      <formula1>-30</formula1>
      <formula2>30</formula2>
    </dataValidation>
    <dataValidation sqref="F2:F201" showDropDown="0" showInputMessage="0" showErrorMessage="1" allowBlank="1" error="請填 -30 到 30 的整數" type="whole" operator="between">
      <formula1>-30</formula1>
      <formula2>30</formula2>
    </dataValidation>
    <dataValidation sqref="G2:G201" showDropDown="0" showInputMessage="0" showErrorMessage="1" allowBlank="1" error="請填 -30 到 30 的整數" type="whole" operator="between">
      <formula1>-30</formula1>
      <formula2>30</formula2>
    </dataValidation>
    <dataValidation sqref="H2:H201" showDropDown="0" showInputMessage="0" showErrorMessage="1" allowBlank="1" error="請填 -50 到 100 的整數" type="whole" operator="between">
      <formula1>-50</formula1>
      <formula2>100</formula2>
    </dataValidation>
    <dataValidation sqref="L2:L201" showDropDown="0" showInputMessage="0" showErrorMessage="1" allowBlank="1" error="請填 1 到 10 的整數" type="whole" operator="between">
      <formula1>1</formula1>
      <formula2>10</formula2>
    </dataValidation>
    <dataValidation sqref="O2:O201" showDropDown="0" showInputMessage="0" showErrorMessage="1" allowBlank="1" error="請填 0 到 500 的整數" type="whole" operator="between">
      <formula1>0</formula1>
      <formula2>500</formula2>
    </dataValidation>
    <dataValidation sqref="P2:P201" showDropDown="0" showInputMessage="0" showErrorMessage="1" allowBlank="1" error="請填 0 到 20 的整數" type="whole" operator="between">
      <formula1>0</formula1>
      <formula2>20</formula2>
    </dataValidation>
    <dataValidation sqref="R2:R201" showDropDown="0" showInputMessage="0" showErrorMessage="1" allowBlank="1" error="請填 0 到 100 的整數" type="whole" operator="between">
      <formula1>0</formula1>
      <formula2>100</formula2>
    </dataValidation>
    <dataValidation sqref="S2:S201" showDropDown="0" showInputMessage="0" showErrorMessage="1" allowBlank="1" error="請填 0 到 20 的整數" type="whole" operator="between">
      <formula1>0</formula1>
      <formula2>20</formula2>
    </dataValidation>
    <dataValidation sqref="T2:T201" showDropDown="0" showInputMessage="0" showErrorMessage="1" allowBlank="1" error="請填 0 到 100 的整數" type="whole" operator="between">
      <formula1>0</formula1>
      <formula2>100</formula2>
    </dataValidation>
    <dataValidation sqref="J2:J201" showDropDown="0" showInputMessage="0" showErrorMessage="1" allowBlank="1" error="請從下拉選單選擇" type="list">
      <formula1>=選單!$B$1:$B$6</formula1>
    </dataValidation>
    <dataValidation sqref="K2:K201" showDropDown="0" showInputMessage="0" showErrorMessage="1" allowBlank="1" error="請從下拉選單選擇" type="list">
      <formula1>=選單!$C$1:$C$5</formula1>
    </dataValidation>
    <dataValidation sqref="M2:M201" showDropDown="0" showInputMessage="0" showErrorMessage="1" allowBlank="1" error="請從下拉選單選擇" type="list">
      <formula1>=選單!$D$1:$D$5</formula1>
    </dataValidation>
    <dataValidation sqref="Q2:Q201" showDropDown="0" showInputMessage="0" showErrorMessage="1" allowBlank="1" error="請從下拉選單選擇" type="list">
      <formula1>=選單!$E$1:$E$8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2" customWidth="1" min="2" max="2"/>
    <col width="14" customWidth="1" min="3" max="3"/>
    <col width="14" customWidth="1" min="4" max="4"/>
    <col width="10" customWidth="1" min="5" max="5"/>
  </cols>
  <sheetData>
    <row r="1" ht="36" customHeight="1">
      <c r="A1" s="7" t="inlineStr">
        <is>
          <t>欄位</t>
        </is>
      </c>
      <c r="B1" s="7" t="inlineStr">
        <is>
          <t>意思</t>
        </is>
      </c>
      <c r="C1" s="7" t="inlineStr">
        <is>
          <t>可填範圍</t>
        </is>
      </c>
      <c r="D1" s="7" t="inlineStr">
        <is>
          <t>留白時的預設</t>
        </is>
      </c>
      <c r="E1" s="7" t="inlineStr">
        <is>
          <t>目前遊戲
已有？</t>
        </is>
      </c>
    </row>
    <row r="2">
      <c r="A2" s="16" t="inlineStr">
        <is>
          <t>【武功總表】</t>
        </is>
      </c>
      <c r="B2" s="17" t="inlineStr"/>
      <c r="C2" s="18" t="inlineStr"/>
      <c r="D2" s="18" t="inlineStr"/>
      <c r="E2" s="18" t="inlineStr"/>
    </row>
    <row r="3">
      <c r="A3" s="19" t="inlineStr">
        <is>
          <t>武功代號</t>
        </is>
      </c>
      <c r="B3" s="20" t="inlineStr">
        <is>
          <t>程式用的英文名，全小寫，可用 - 連接，例如 sanmeendo、tiger-blade。不能和別的武功重複。</t>
        </is>
      </c>
      <c r="C3" s="19" t="inlineStr">
        <is>
          <t>英文</t>
        </is>
      </c>
      <c r="D3" s="19" t="inlineStr">
        <is>
          <t>（必填）</t>
        </is>
      </c>
      <c r="E3" s="19" t="inlineStr"/>
    </row>
    <row r="4">
      <c r="A4" s="19" t="inlineStr">
        <is>
          <t>武功名稱</t>
        </is>
      </c>
      <c r="B4" s="20" t="inlineStr">
        <is>
          <t>遊戲裡顯示的中文名。</t>
        </is>
      </c>
      <c r="C4" s="19" t="inlineStr">
        <is>
          <t>中文</t>
        </is>
      </c>
      <c r="D4" s="19" t="inlineStr">
        <is>
          <t>（必填）</t>
        </is>
      </c>
      <c r="E4" s="19" t="inlineStr">
        <is>
          <t>有</t>
        </is>
      </c>
    </row>
    <row r="5">
      <c r="A5" s="19" t="inlineStr">
        <is>
          <t>enable 在</t>
        </is>
      </c>
      <c r="B5" s="20" t="inlineStr">
        <is>
          <t>這套武功掛在哪個基本技能上（玩家 enable 時用）。</t>
        </is>
      </c>
      <c r="C5" s="19" t="inlineStr">
        <is>
          <t>下拉選單</t>
        </is>
      </c>
      <c r="D5" s="19" t="inlineStr">
        <is>
          <t>（必填）</t>
        </is>
      </c>
      <c r="E5" s="19" t="inlineStr">
        <is>
          <t>有</t>
        </is>
      </c>
    </row>
    <row r="6">
      <c r="A6" s="19" t="inlineStr">
        <is>
          <t>門派</t>
        </is>
      </c>
      <c r="B6" s="20" t="inlineStr">
        <is>
          <t>哪個門派的武功，方便分類，不影響數值。</t>
        </is>
      </c>
      <c r="C6" s="19" t="inlineStr">
        <is>
          <t>文字</t>
        </is>
      </c>
      <c r="D6" s="19" t="inlineStr">
        <is>
          <t>無</t>
        </is>
      </c>
      <c r="E6" s="19" t="inlineStr"/>
    </row>
    <row r="7">
      <c r="A7" s="19" t="inlineStr">
        <is>
          <t>整套傷害加成</t>
        </is>
      </c>
      <c r="B7" s="20" t="inlineStr">
        <is>
          <t>整套武功共同的傷害加成。每一招都會加上這個數字。</t>
        </is>
      </c>
      <c r="C7" s="19" t="inlineStr">
        <is>
          <t>0～100</t>
        </is>
      </c>
      <c r="D7" s="19" t="inlineStr">
        <is>
          <t>0</t>
        </is>
      </c>
      <c r="E7" s="19" t="inlineStr">
        <is>
          <t>NEW</t>
        </is>
      </c>
    </row>
    <row r="8">
      <c r="A8" s="19" t="inlineStr">
        <is>
          <t>加成方式</t>
        </is>
      </c>
      <c r="B8" s="20" t="inlineStr">
        <is>
          <t>「固定」：一學會就拿到全部加成。
「隨等級成長」：等級越高拿越多，200 級拿滿（例如 100 級拿一半）。</t>
        </is>
      </c>
      <c r="C8" s="19" t="inlineStr">
        <is>
          <t>下拉選單</t>
        </is>
      </c>
      <c r="D8" s="19" t="inlineStr">
        <is>
          <t>固定</t>
        </is>
      </c>
      <c r="E8" s="19" t="inlineStr">
        <is>
          <t>NEW</t>
        </is>
      </c>
    </row>
    <row r="9">
      <c r="A9" s="19" t="inlineStr">
        <is>
          <t>武術造詣係數</t>
        </is>
      </c>
      <c r="B9" s="20" t="inlineStr">
        <is>
          <t>武功每升一級，給「武術造詣」= 新等級 × 係數。（龍圖心經用的是 10）</t>
        </is>
      </c>
      <c r="C9" s="19" t="inlineStr">
        <is>
          <t>0～100</t>
        </is>
      </c>
      <c r="D9" s="19" t="inlineStr">
        <is>
          <t>0（不給）</t>
        </is>
      </c>
      <c r="E9" s="19" t="inlineStr">
        <is>
          <t>有（龍圖心經）</t>
        </is>
      </c>
    </row>
    <row r="10">
      <c r="A10" s="19" t="inlineStr">
        <is>
          <t>武學之道起始等級</t>
        </is>
      </c>
      <c r="B10" s="20" t="inlineStr">
        <is>
          <t>武功練到這個等級後，每升一級開始給「武學之道」。</t>
        </is>
      </c>
      <c r="C10" s="19" t="inlineStr">
        <is>
          <t>0～200</t>
        </is>
      </c>
      <c r="D10" s="19" t="inlineStr">
        <is>
          <t>不給</t>
        </is>
      </c>
      <c r="E10" s="19" t="inlineStr">
        <is>
          <t>有（龍圖心經 50 級）</t>
        </is>
      </c>
    </row>
    <row r="11">
      <c r="A11" s="19" t="inlineStr">
        <is>
          <t>武學之道係數</t>
        </is>
      </c>
      <c r="B11" s="20" t="inlineStr">
        <is>
          <t>給「武學之道」=（新等級 − 起始等級 + 1）× 係數。</t>
        </is>
      </c>
      <c r="C11" s="19" t="inlineStr">
        <is>
          <t>0～100</t>
        </is>
      </c>
      <c r="D11" s="19" t="inlineStr">
        <is>
          <t>0</t>
        </is>
      </c>
      <c r="E11" s="19" t="inlineStr">
        <is>
          <t>有（龍圖心經）</t>
        </is>
      </c>
    </row>
    <row r="12">
      <c r="A12" s="19" t="inlineStr">
        <is>
          <t>整套特效</t>
        </is>
      </c>
      <c r="B12" s="20" t="inlineStr">
        <is>
          <t>整套武功共有的特殊效果。
「三招重演」（三門刀法）：最近三招都命中時，有機會立即把這三招再使一次；重演必中（不會被閃開或格開，防具照樣減傷），重演的招不算連中，發動後連中紀錄歸零。</t>
        </is>
      </c>
      <c r="C12" s="19" t="inlineStr">
        <is>
          <t>下拉選單</t>
        </is>
      </c>
      <c r="D12" s="19" t="inlineStr">
        <is>
          <t>無</t>
        </is>
      </c>
      <c r="E12" s="19" t="inlineStr">
        <is>
          <t>NEW</t>
        </is>
      </c>
    </row>
    <row r="13">
      <c r="A13" s="19" t="inlineStr">
        <is>
          <t>整套特效機率</t>
        </is>
      </c>
      <c r="B13" s="20" t="inlineStr">
        <is>
          <t>條件達成時發動的基本機率。三招重演另加「天生膽識÷4」（小數捨去，不含裝備），寫在備註。</t>
        </is>
      </c>
      <c r="C13" s="19" t="inlineStr">
        <is>
          <t>0～100</t>
        </is>
      </c>
      <c r="D13" s="19" t="inlineStr">
        <is>
          <t>0</t>
        </is>
      </c>
      <c r="E13" s="19" t="inlineStr">
        <is>
          <t>NEW</t>
        </is>
      </c>
    </row>
    <row r="14">
      <c r="A14" s="19" t="inlineStr">
        <is>
          <t>整套特效強度</t>
        </is>
      </c>
      <c r="B14" s="20" t="inlineStr">
        <is>
          <t>三招重演：重演那三招的傷害 %，以那招平常的傷害（含各種加成）為準，100 = 和平常一樣。</t>
        </is>
      </c>
      <c r="C14" s="19" t="inlineStr">
        <is>
          <t>0～300</t>
        </is>
      </c>
      <c r="D14" s="19" t="inlineStr">
        <is>
          <t>100</t>
        </is>
      </c>
      <c r="E14" s="19" t="inlineStr">
        <is>
          <t>NEW</t>
        </is>
      </c>
    </row>
    <row r="15">
      <c r="A15" s="16" t="inlineStr">
        <is>
          <t>【招式表】</t>
        </is>
      </c>
      <c r="B15" s="17" t="inlineStr"/>
      <c r="C15" s="18" t="inlineStr"/>
      <c r="D15" s="18" t="inlineStr"/>
      <c r="E15" s="18" t="inlineStr"/>
    </row>
    <row r="16">
      <c r="A16" s="19" t="inlineStr">
        <is>
          <t>武功代號</t>
        </is>
      </c>
      <c r="B16" s="20" t="inlineStr">
        <is>
          <t>這一招屬於哪套武功，從「武功總表」已建立的代號中選。</t>
        </is>
      </c>
      <c r="C16" s="19" t="inlineStr">
        <is>
          <t>下拉選單</t>
        </is>
      </c>
      <c r="D16" s="19" t="inlineStr">
        <is>
          <t>（必填）</t>
        </is>
      </c>
      <c r="E16" s="19" t="inlineStr"/>
    </row>
    <row r="17">
      <c r="A17" s="19" t="inlineStr">
        <is>
          <t>順序</t>
        </is>
      </c>
      <c r="B17" s="20" t="inlineStr">
        <is>
          <t>招式的編號，用來對應第一部分寫的招式敘述。</t>
        </is>
      </c>
      <c r="C17" s="19" t="inlineStr">
        <is>
          <t>1～30</t>
        </is>
      </c>
      <c r="D17" s="19" t="inlineStr">
        <is>
          <t>（必填）</t>
        </is>
      </c>
      <c r="E17" s="19" t="inlineStr"/>
    </row>
    <row r="18">
      <c r="A18" s="19" t="inlineStr">
        <is>
          <t>招式名</t>
        </is>
      </c>
      <c r="B18" s="20" t="inlineStr">
        <is>
          <t>例如「三門齊開」。不用加「」。</t>
        </is>
      </c>
      <c r="C18" s="19" t="inlineStr">
        <is>
          <t>中文</t>
        </is>
      </c>
      <c r="D18" s="19" t="inlineStr">
        <is>
          <t>（必填）</t>
        </is>
      </c>
      <c r="E18" s="19" t="inlineStr">
        <is>
          <t>有</t>
        </is>
      </c>
    </row>
    <row r="19">
      <c r="A19" s="19" t="inlineStr">
        <is>
          <t>解鎖等級</t>
        </is>
      </c>
      <c r="B19" s="20" t="inlineStr">
        <is>
          <t>武功練到幾級才會使出這一招。</t>
        </is>
      </c>
      <c r="C19" s="19" t="inlineStr">
        <is>
          <t>0～200</t>
        </is>
      </c>
      <c r="D19" s="19" t="inlineStr">
        <is>
          <t>0（一開始就會）</t>
        </is>
      </c>
      <c r="E19" s="19" t="inlineStr">
        <is>
          <t>NEW</t>
        </is>
      </c>
    </row>
    <row r="20">
      <c r="A20" s="19" t="inlineStr">
        <is>
          <t>命中加成</t>
        </is>
      </c>
      <c r="B20" s="20" t="inlineStr">
        <is>
          <t>加在命中判定上。越高越容易打中。程式欄位 attack。</t>
        </is>
      </c>
      <c r="C20" s="19" t="inlineStr">
        <is>
          <t>-30～30</t>
        </is>
      </c>
      <c r="D20" s="19" t="inlineStr">
        <is>
          <t>0</t>
        </is>
      </c>
      <c r="E20" s="19" t="inlineStr">
        <is>
          <t>有</t>
        </is>
      </c>
    </row>
    <row r="21">
      <c r="A21" s="19" t="inlineStr">
        <is>
          <t>防守加成</t>
        </is>
      </c>
      <c r="B21" s="20" t="inlineStr">
        <is>
          <t>出這招後，對手下一招比較難打中你。程式欄位 defense。</t>
        </is>
      </c>
      <c r="C21" s="19" t="inlineStr">
        <is>
          <t>-30～30</t>
        </is>
      </c>
      <c r="D21" s="19" t="inlineStr">
        <is>
          <t>0</t>
        </is>
      </c>
      <c r="E21" s="19" t="inlineStr">
        <is>
          <t>有</t>
        </is>
      </c>
    </row>
    <row r="22">
      <c r="A22" s="19" t="inlineStr">
        <is>
          <t>內力加成</t>
        </is>
      </c>
      <c r="B22" s="20" t="inlineStr">
        <is>
          <t>有運內功時，額外增加的內力力道。程式欄位 force。</t>
        </is>
      </c>
      <c r="C22" s="19" t="inlineStr">
        <is>
          <t>-30～30</t>
        </is>
      </c>
      <c r="D22" s="19" t="inlineStr">
        <is>
          <t>0</t>
        </is>
      </c>
      <c r="E22" s="19" t="inlineStr">
        <is>
          <t>有</t>
        </is>
      </c>
    </row>
    <row r="23">
      <c r="A23" s="19" t="inlineStr">
        <is>
          <t>招式傷害加成</t>
        </is>
      </c>
      <c r="B23" s="20" t="inlineStr">
        <is>
          <t>這一招自己的傷害加成，會和整套加成相加。可以填負數，代表這招傷害比較低（例如防守招）。</t>
        </is>
      </c>
      <c r="C23" s="19" t="inlineStr">
        <is>
          <t>-50～100</t>
        </is>
      </c>
      <c r="D23" s="19" t="inlineStr">
        <is>
          <t>0</t>
        </is>
      </c>
      <c r="E23" s="19" t="inlineStr">
        <is>
          <t>NEW</t>
        </is>
      </c>
    </row>
    <row r="24">
      <c r="A24" s="19" t="inlineStr">
        <is>
          <t>總傷害加成</t>
        </is>
      </c>
      <c r="B24" s="20" t="inlineStr">
        <is>
          <t>自動計算 = 整套加成 + 招式加成。</t>
        </is>
      </c>
      <c r="C24" s="19" t="inlineStr">
        <is>
          <t>（自動）</t>
        </is>
      </c>
      <c r="D24" s="19" t="inlineStr"/>
      <c r="E24" s="19" t="inlineStr"/>
    </row>
    <row r="25">
      <c r="A25" s="19" t="inlineStr">
        <is>
          <t>傷害類型</t>
        </is>
      </c>
      <c r="B25" s="20" t="inlineStr">
        <is>
          <t>影響戰鬥訊息的用字，例如「割傷」會顯示「造成一道輕微的傷口」之類。</t>
        </is>
      </c>
      <c r="C25" s="19" t="inlineStr">
        <is>
          <t>下拉選單</t>
        </is>
      </c>
      <c r="D25" s="19" t="inlineStr">
        <is>
          <t>割傷（刀）</t>
        </is>
      </c>
      <c r="E25" s="19" t="inlineStr">
        <is>
          <t>有</t>
        </is>
      </c>
    </row>
    <row r="26">
      <c r="A26" s="19" t="inlineStr">
        <is>
          <t>元素</t>
        </is>
      </c>
      <c r="B26" s="20" t="inlineStr">
        <is>
          <t>招式帶火、冰、雷、風屬性時，打中後會再加上裝備的同元素傷害。</t>
        </is>
      </c>
      <c r="C26" s="19" t="inlineStr">
        <is>
          <t>下拉選單</t>
        </is>
      </c>
      <c r="D26" s="19" t="inlineStr">
        <is>
          <t>無</t>
        </is>
      </c>
      <c r="E26" s="19" t="inlineStr">
        <is>
          <t>有</t>
        </is>
      </c>
    </row>
    <row r="27">
      <c r="A27" s="19" t="inlineStr">
        <is>
          <t>出招權重</t>
        </is>
      </c>
      <c r="B27" s="20" t="inlineStr">
        <is>
          <t>這招被選中的機率。5 是普通，10 是很常出，1 是很少出。</t>
        </is>
      </c>
      <c r="C27" s="19" t="inlineStr">
        <is>
          <t>1～10</t>
        </is>
      </c>
      <c r="D27" s="19" t="inlineStr">
        <is>
          <t>5</t>
        </is>
      </c>
      <c r="E27" s="19" t="inlineStr">
        <is>
          <t>NEW</t>
        </is>
      </c>
    </row>
    <row r="28">
      <c r="A28" s="19" t="inlineStr">
        <is>
          <t>出招條件</t>
        </is>
      </c>
      <c r="B28" s="20" t="inlineStr">
        <is>
          <t>只在特定情況才會出的招，例如對手重傷時的殺招、格擋成功後的反擊。</t>
        </is>
      </c>
      <c r="C28" s="19" t="inlineStr">
        <is>
          <t>下拉選單</t>
        </is>
      </c>
      <c r="D28" s="19" t="inlineStr">
        <is>
          <t>無（隨時都可能出）</t>
        </is>
      </c>
      <c r="E28" s="19" t="inlineStr">
        <is>
          <t>NEW</t>
        </is>
      </c>
    </row>
    <row r="29">
      <c r="A29" s="19" t="inlineStr">
        <is>
          <t>連招前置</t>
        </is>
      </c>
      <c r="B29" s="20" t="inlineStr">
        <is>
          <t>出招條件選「連招」時才需要填：最近幾回合內要先用過哪些招，用逗號分隔。</t>
        </is>
      </c>
      <c r="C29" s="19" t="inlineStr">
        <is>
          <t>招式名</t>
        </is>
      </c>
      <c r="D29" s="19" t="inlineStr"/>
      <c r="E29" s="19" t="inlineStr"/>
    </row>
    <row r="30">
      <c r="A30" s="19" t="inlineStr">
        <is>
          <t>內力消耗</t>
        </is>
      </c>
      <c r="B30" s="20" t="inlineStr">
        <is>
          <t>使出這招要扣多少內力。內力不夠就不會出這招。</t>
        </is>
      </c>
      <c r="C30" s="19" t="inlineStr">
        <is>
          <t>0～500</t>
        </is>
      </c>
      <c r="D30" s="19" t="inlineStr">
        <is>
          <t>0</t>
        </is>
      </c>
      <c r="E30" s="19" t="inlineStr">
        <is>
          <t>NEW</t>
        </is>
      </c>
    </row>
    <row r="31">
      <c r="A31" s="19" t="inlineStr">
        <is>
          <t>冷卻</t>
        </is>
      </c>
      <c r="B31" s="20" t="inlineStr">
        <is>
          <t>使出後要隔幾回合才能再出。</t>
        </is>
      </c>
      <c r="C31" s="19" t="inlineStr">
        <is>
          <t>0～20</t>
        </is>
      </c>
      <c r="D31" s="19" t="inlineStr">
        <is>
          <t>0（沒有冷卻）</t>
        </is>
      </c>
      <c r="E31" s="19" t="inlineStr">
        <is>
          <t>NEW</t>
        </is>
      </c>
    </row>
    <row r="32">
      <c r="A32" s="19" t="inlineStr">
        <is>
          <t>特效</t>
        </is>
      </c>
      <c r="B32" s="20" t="inlineStr">
        <is>
          <t>打中後的附加效果，見下方特效說明。</t>
        </is>
      </c>
      <c r="C32" s="19" t="inlineStr">
        <is>
          <t>下拉選單</t>
        </is>
      </c>
      <c r="D32" s="19" t="inlineStr">
        <is>
          <t>無</t>
        </is>
      </c>
      <c r="E32" s="19" t="inlineStr">
        <is>
          <t>NEW</t>
        </is>
      </c>
    </row>
    <row r="33">
      <c r="A33" s="19" t="inlineStr">
        <is>
          <t>特效機率</t>
        </is>
      </c>
      <c r="B33" s="20" t="inlineStr">
        <is>
          <t>打中時發動特效的機率。</t>
        </is>
      </c>
      <c r="C33" s="19" t="inlineStr">
        <is>
          <t>0～100</t>
        </is>
      </c>
      <c r="D33" s="19" t="inlineStr">
        <is>
          <t>100</t>
        </is>
      </c>
      <c r="E33" s="19" t="inlineStr">
        <is>
          <t>NEW</t>
        </is>
      </c>
    </row>
    <row r="34">
      <c r="A34" s="19" t="inlineStr">
        <is>
          <t>特效持續</t>
        </is>
      </c>
      <c r="B34" s="20" t="inlineStr">
        <is>
          <t>特效持續幾回合（追擊、震退這類一次性的不用填）。</t>
        </is>
      </c>
      <c r="C34" s="19" t="inlineStr">
        <is>
          <t>0～20</t>
        </is>
      </c>
      <c r="D34" s="19" t="inlineStr">
        <is>
          <t>1</t>
        </is>
      </c>
      <c r="E34" s="19" t="inlineStr">
        <is>
          <t>NEW</t>
        </is>
      </c>
    </row>
    <row r="35">
      <c r="A35" s="19" t="inlineStr">
        <is>
          <t>特效強度</t>
        </is>
      </c>
      <c r="B35" s="20" t="inlineStr">
        <is>
          <t>依特效不同意思不同，見下方。</t>
        </is>
      </c>
      <c r="C35" s="19" t="inlineStr">
        <is>
          <t>0～100</t>
        </is>
      </c>
      <c r="D35" s="19" t="inlineStr">
        <is>
          <t>依特效</t>
        </is>
      </c>
      <c r="E35" s="19" t="inlineStr">
        <is>
          <t>NEW</t>
        </is>
      </c>
    </row>
    <row r="36">
      <c r="A36" s="19" t="inlineStr">
        <is>
          <t>備註</t>
        </is>
      </c>
      <c r="B36" s="20" t="inlineStr">
        <is>
          <t>任何想說明的事。</t>
        </is>
      </c>
      <c r="C36" s="19" t="inlineStr">
        <is>
          <t>文字</t>
        </is>
      </c>
      <c r="D36" s="19" t="inlineStr"/>
      <c r="E36" s="19" t="inlineStr"/>
    </row>
    <row r="37">
      <c r="A37" s="16" t="inlineStr">
        <is>
          <t>【特效說明】</t>
        </is>
      </c>
      <c r="B37" s="17" t="inlineStr"/>
      <c r="C37" s="18" t="inlineStr"/>
      <c r="D37" s="18" t="inlineStr"/>
      <c r="E37" s="18" t="inlineStr"/>
    </row>
    <row r="38">
      <c r="A38" s="19" t="inlineStr">
        <is>
          <t>流血</t>
        </is>
      </c>
      <c r="B38" s="20" t="inlineStr">
        <is>
          <t>每回合扣血。強度 = 每回合扣多少點。</t>
        </is>
      </c>
      <c r="C38" s="19" t="inlineStr"/>
      <c r="D38" s="19" t="inlineStr"/>
      <c r="E38" s="19" t="inlineStr"/>
    </row>
    <row r="39">
      <c r="A39" s="19" t="inlineStr">
        <is>
          <t>破防</t>
        </is>
      </c>
      <c r="B39" s="20" t="inlineStr">
        <is>
          <t>對手防具效果降低。強度 = 降低幾 %。</t>
        </is>
      </c>
      <c r="C39" s="19" t="inlineStr"/>
      <c r="D39" s="19" t="inlineStr"/>
      <c r="E39" s="19" t="inlineStr"/>
    </row>
    <row r="40">
      <c r="A40" s="19" t="inlineStr">
        <is>
          <t>暈眩</t>
        </is>
      </c>
      <c r="B40" s="20" t="inlineStr">
        <is>
          <t>對手停手不能出招。強度不用填。</t>
        </is>
      </c>
      <c r="C40" s="19" t="inlineStr"/>
      <c r="D40" s="19" t="inlineStr"/>
      <c r="E40" s="19" t="inlineStr"/>
    </row>
    <row r="41">
      <c r="A41" s="19" t="inlineStr">
        <is>
          <t>緩速</t>
        </is>
      </c>
      <c r="B41" s="20" t="inlineStr">
        <is>
          <t>對手出招變慢、閃躲降低。強度 = 降低幾 %。</t>
        </is>
      </c>
      <c r="C41" s="19" t="inlineStr"/>
      <c r="D41" s="19" t="inlineStr"/>
      <c r="E41" s="19" t="inlineStr"/>
    </row>
    <row r="42">
      <c r="A42" s="19" t="inlineStr">
        <is>
          <t>吸血</t>
        </is>
      </c>
      <c r="B42" s="20" t="inlineStr">
        <is>
          <t>打中時回復自己的氣。強度 = 回復傷害的幾 %。</t>
        </is>
      </c>
      <c r="C42" s="19" t="inlineStr"/>
      <c r="D42" s="19" t="inlineStr"/>
      <c r="E42" s="19" t="inlineStr"/>
    </row>
    <row r="43">
      <c r="A43" s="19" t="inlineStr">
        <is>
          <t>追擊</t>
        </is>
      </c>
      <c r="B43" s="20" t="inlineStr">
        <is>
          <t>立刻再出一招（像瘋虎刀法的追擊）。強度 = 追擊招的傷害 %，100 = 一般傷害。</t>
        </is>
      </c>
      <c r="C43" s="19" t="inlineStr"/>
      <c r="D43" s="19" t="inlineStr"/>
      <c r="E43" s="19" t="inlineStr"/>
    </row>
    <row r="44">
      <c r="A44" s="19" t="inlineStr">
        <is>
          <t>震退</t>
        </is>
      </c>
      <c r="B44" s="20" t="inlineStr">
        <is>
          <t>讓對手忙亂一回合。強度不用填。</t>
        </is>
      </c>
      <c r="C44" s="19" t="inlineStr"/>
      <c r="D44" s="19" t="inlineStr"/>
      <c r="E44" s="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50" customWidth="1" min="5" max="5"/>
  </cols>
  <sheetData>
    <row r="1" ht="36" customHeight="1">
      <c r="A1" s="7" t="inlineStr">
        <is>
          <t>項目</t>
        </is>
      </c>
      <c r="B1" s="7" t="inlineStr">
        <is>
          <t>入門武功</t>
        </is>
      </c>
      <c r="C1" s="7" t="inlineStr">
        <is>
          <t>中階武功</t>
        </is>
      </c>
      <c r="D1" s="7" t="inlineStr">
        <is>
          <t>高階 / 門派絕學</t>
        </is>
      </c>
      <c r="E1" s="7" t="inlineStr">
        <is>
          <t>說明</t>
        </is>
      </c>
    </row>
    <row r="2">
      <c r="A2" s="19" t="inlineStr">
        <is>
          <t>整套傷害加成 (%)</t>
        </is>
      </c>
      <c r="B2" s="19" t="inlineStr">
        <is>
          <t>5～10</t>
        </is>
      </c>
      <c r="C2" s="19" t="inlineStr">
        <is>
          <t>10～20</t>
        </is>
      </c>
      <c r="D2" s="19" t="inlineStr">
        <is>
          <t>20～30</t>
        </is>
      </c>
      <c r="E2" s="20" t="inlineStr">
        <is>
          <t>高階武功建議搭配較低的防守加成或消耗，不要樣樣都強。</t>
        </is>
      </c>
    </row>
    <row r="3">
      <c r="A3" s="19" t="inlineStr">
        <is>
          <t>單招傷害加成 (%)</t>
        </is>
      </c>
      <c r="B3" s="19" t="inlineStr">
        <is>
          <t>-10～10</t>
        </is>
      </c>
      <c r="C3" s="19" t="inlineStr">
        <is>
          <t>-10～20</t>
        </is>
      </c>
      <c r="D3" s="19" t="inlineStr">
        <is>
          <t>-10～30</t>
        </is>
      </c>
      <c r="E3" s="20" t="inlineStr">
        <is>
          <t>同一套裡有強有弱：攻擊招高、防守招低甚至負數。</t>
        </is>
      </c>
    </row>
    <row r="4">
      <c r="A4" s="19" t="inlineStr">
        <is>
          <t>命中加成</t>
        </is>
      </c>
      <c r="B4" s="19" t="inlineStr">
        <is>
          <t>3～8</t>
        </is>
      </c>
      <c r="C4" s="19" t="inlineStr">
        <is>
          <t>5～10</t>
        </is>
      </c>
      <c r="D4" s="19" t="inlineStr">
        <is>
          <t>8～15</t>
        </is>
      </c>
      <c r="E4" s="20" t="inlineStr">
        <is>
          <t>目前三門刀法是 5～10、瘋虎刀法是 6～11。</t>
        </is>
      </c>
    </row>
    <row r="5">
      <c r="A5" s="19" t="inlineStr">
        <is>
          <t>防守加成</t>
        </is>
      </c>
      <c r="B5" s="19" t="inlineStr">
        <is>
          <t>2～8</t>
        </is>
      </c>
      <c r="C5" s="19" t="inlineStr">
        <is>
          <t>-3～8</t>
        </is>
      </c>
      <c r="D5" s="19" t="inlineStr">
        <is>
          <t>-8～10</t>
        </is>
      </c>
      <c r="E5" s="20" t="inlineStr">
        <is>
          <t>猛攻型武功防守可以是負的（瘋虎刀法是 -7～1）。</t>
        </is>
      </c>
    </row>
    <row r="6">
      <c r="A6" s="19" t="inlineStr">
        <is>
          <t>內力加成</t>
        </is>
      </c>
      <c r="B6" s="19" t="inlineStr">
        <is>
          <t>0～3</t>
        </is>
      </c>
      <c r="C6" s="19" t="inlineStr">
        <is>
          <t>0～8</t>
        </is>
      </c>
      <c r="D6" s="19" t="inlineStr">
        <is>
          <t>5～12</t>
        </is>
      </c>
      <c r="E6" s="20" t="inlineStr">
        <is>
          <t>瘋虎刀法 7～12 屬於重內力型。</t>
        </is>
      </c>
    </row>
    <row r="7">
      <c r="A7" s="19" t="inlineStr">
        <is>
          <t>招式數</t>
        </is>
      </c>
      <c r="B7" s="19" t="inlineStr">
        <is>
          <t>4～6</t>
        </is>
      </c>
      <c r="C7" s="19" t="inlineStr">
        <is>
          <t>6～8</t>
        </is>
      </c>
      <c r="D7" s="19" t="inlineStr">
        <is>
          <t>8～12</t>
        </is>
      </c>
      <c r="E7" s="20" t="inlineStr"/>
    </row>
    <row r="8">
      <c r="A8" s="19" t="inlineStr">
        <is>
          <t>最高解鎖等級</t>
        </is>
      </c>
      <c r="B8" s="19" t="inlineStr">
        <is>
          <t>60</t>
        </is>
      </c>
      <c r="C8" s="19" t="inlineStr">
        <is>
          <t>120</t>
        </is>
      </c>
      <c r="D8" s="19" t="inlineStr">
        <is>
          <t>180</t>
        </is>
      </c>
      <c r="E8" s="20" t="inlineStr"/>
    </row>
    <row r="9">
      <c r="A9" s="19" t="inlineStr">
        <is>
          <t>大招內力消耗</t>
        </is>
      </c>
      <c r="B9" s="19" t="inlineStr">
        <is>
          <t>10～30</t>
        </is>
      </c>
      <c r="C9" s="19" t="inlineStr">
        <is>
          <t>20～60</t>
        </is>
      </c>
      <c r="D9" s="19" t="inlineStr">
        <is>
          <t>50～150</t>
        </is>
      </c>
      <c r="E9" s="20" t="inlineStr">
        <is>
          <t>搭配冷卻 2～5 回合。</t>
        </is>
      </c>
    </row>
    <row r="10">
      <c r="A10" s="19" t="inlineStr">
        <is>
          <t>特效機率 (%)</t>
        </is>
      </c>
      <c r="B10" s="19" t="inlineStr">
        <is>
          <t>10～20</t>
        </is>
      </c>
      <c r="C10" s="19" t="inlineStr">
        <is>
          <t>15～30</t>
        </is>
      </c>
      <c r="D10" s="19" t="inlineStr">
        <is>
          <t>20～40</t>
        </is>
      </c>
      <c r="E10" s="20" t="inlineStr"/>
    </row>
    <row r="12">
      <c r="A12" s="21" t="inlineStr">
        <is>
          <t>以上皆為建議起點，實際數字等平衡模擬器做好後再調整。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blade</t>
        </is>
      </c>
      <c r="B1" t="inlineStr">
        <is>
          <t>割傷</t>
        </is>
      </c>
      <c r="C1" t="inlineStr">
        <is>
          <t>無</t>
        </is>
      </c>
      <c r="D1" t="inlineStr">
        <is>
          <t>無</t>
        </is>
      </c>
      <c r="E1" t="inlineStr">
        <is>
          <t>無</t>
        </is>
      </c>
      <c r="F1" t="inlineStr">
        <is>
          <t>固定</t>
        </is>
      </c>
      <c r="G1" t="inlineStr">
        <is>
          <t>無</t>
        </is>
      </c>
    </row>
    <row r="2">
      <c r="A2" t="inlineStr">
        <is>
          <t>twohanded blade</t>
        </is>
      </c>
      <c r="B2" t="inlineStr">
        <is>
          <t>刺傷</t>
        </is>
      </c>
      <c r="C2" t="inlineStr">
        <is>
          <t>fire（火）</t>
        </is>
      </c>
      <c r="D2" t="inlineStr">
        <is>
          <t>對手重傷時</t>
        </is>
      </c>
      <c r="E2" t="inlineStr">
        <is>
          <t>流血</t>
        </is>
      </c>
      <c r="F2" t="inlineStr">
        <is>
          <t>隨等級成長</t>
        </is>
      </c>
      <c r="G2" t="inlineStr">
        <is>
          <t>三招重演</t>
        </is>
      </c>
    </row>
    <row r="3">
      <c r="A3" t="inlineStr">
        <is>
          <t>secondhand blade</t>
        </is>
      </c>
      <c r="B3" t="inlineStr">
        <is>
          <t>瘀傷</t>
        </is>
      </c>
      <c r="C3" t="inlineStr">
        <is>
          <t>ice（冰）</t>
        </is>
      </c>
      <c r="D3" t="inlineStr">
        <is>
          <t>格擋成功後</t>
        </is>
      </c>
      <c r="E3" t="inlineStr">
        <is>
          <t>破防</t>
        </is>
      </c>
    </row>
    <row r="4">
      <c r="A4" t="inlineStr">
        <is>
          <t>sword</t>
        </is>
      </c>
      <c r="B4" t="inlineStr">
        <is>
          <t>斲傷</t>
        </is>
      </c>
      <c r="C4" t="inlineStr">
        <is>
          <t>lightning（雷）</t>
        </is>
      </c>
      <c r="D4" t="inlineStr">
        <is>
          <t>閃躲成功後</t>
        </is>
      </c>
      <c r="E4" t="inlineStr">
        <is>
          <t>暈眩</t>
        </is>
      </c>
    </row>
    <row r="5">
      <c r="A5" t="inlineStr">
        <is>
          <t>twohanded sword</t>
        </is>
      </c>
      <c r="B5" t="inlineStr">
        <is>
          <t>抓傷</t>
        </is>
      </c>
      <c r="C5" t="inlineStr">
        <is>
          <t>wind（風）</t>
        </is>
      </c>
      <c r="D5" t="inlineStr">
        <is>
          <t>連招</t>
        </is>
      </c>
      <c r="E5" t="inlineStr">
        <is>
          <t>緩速</t>
        </is>
      </c>
    </row>
    <row r="6">
      <c r="A6" t="inlineStr">
        <is>
          <t>secondhand sword</t>
        </is>
      </c>
      <c r="B6" t="inlineStr">
        <is>
          <t>咬傷</t>
        </is>
      </c>
      <c r="E6" t="inlineStr">
        <is>
          <t>吸血</t>
        </is>
      </c>
    </row>
    <row r="7">
      <c r="A7" t="inlineStr">
        <is>
          <t>axe</t>
        </is>
      </c>
      <c r="E7" t="inlineStr">
        <is>
          <t>追擊</t>
        </is>
      </c>
    </row>
    <row r="8">
      <c r="A8" t="inlineStr">
        <is>
          <t>twohanded axe</t>
        </is>
      </c>
      <c r="E8" t="inlineStr">
        <is>
          <t>震退</t>
        </is>
      </c>
    </row>
    <row r="9">
      <c r="A9" t="inlineStr">
        <is>
          <t>secondhand axe</t>
        </is>
      </c>
    </row>
    <row r="10">
      <c r="A10" t="inlineStr">
        <is>
          <t>pike</t>
        </is>
      </c>
    </row>
    <row r="11">
      <c r="A11" t="inlineStr">
        <is>
          <t>twohanded pike</t>
        </is>
      </c>
    </row>
    <row r="12">
      <c r="A12" t="inlineStr">
        <is>
          <t>secondhand pike</t>
        </is>
      </c>
    </row>
    <row r="13">
      <c r="A13" t="inlineStr">
        <is>
          <t>staff</t>
        </is>
      </c>
    </row>
    <row r="14">
      <c r="A14" t="inlineStr">
        <is>
          <t>twohanded staff</t>
        </is>
      </c>
    </row>
    <row r="15">
      <c r="A15" t="inlineStr">
        <is>
          <t>secondhand staff</t>
        </is>
      </c>
    </row>
    <row r="16">
      <c r="A16" t="inlineStr">
        <is>
          <t>blunt</t>
        </is>
      </c>
    </row>
    <row r="17">
      <c r="A17" t="inlineStr">
        <is>
          <t>twohanded blunt</t>
        </is>
      </c>
    </row>
    <row r="18">
      <c r="A18" t="inlineStr">
        <is>
          <t>secondhand blunt</t>
        </is>
      </c>
    </row>
    <row r="19">
      <c r="A19" t="inlineStr">
        <is>
          <t>dagger</t>
        </is>
      </c>
    </row>
    <row r="20">
      <c r="A20" t="inlineStr">
        <is>
          <t>secondhand dagger</t>
        </is>
      </c>
    </row>
    <row r="21">
      <c r="A21" t="inlineStr">
        <is>
          <t>needle</t>
        </is>
      </c>
    </row>
    <row r="22">
      <c r="A22" t="inlineStr">
        <is>
          <t>secondhand needle</t>
        </is>
      </c>
    </row>
    <row r="23">
      <c r="A23" t="inlineStr">
        <is>
          <t>whip</t>
        </is>
      </c>
    </row>
    <row r="24">
      <c r="A24" t="inlineStr">
        <is>
          <t>unarmed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2026-10-05T15:28:40Z</dcterms:created>
  <dcterms:modified xsi:type="dcterms:W3CDTF">2026-10-05T15:28:40Z</dcterms:modified>
</cp:coreProperties>
</file>