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升級列表" sheetId="1" r:id="rId4"/>
    <sheet state="visible" name="工作表4" sheetId="2" r:id="rId5"/>
    <sheet state="visible" name="工作表2" sheetId="3" r:id="rId6"/>
  </sheets>
  <definedNames>
    <definedName name="NamedRange1">'升級列表'!$A$4:$L$100</definedName>
    <definedName name="NamedRange6">'升級列表'!$E$3:$E$4</definedName>
    <definedName name="NamedRange5">'升級列表'!$E$3:$E$4</definedName>
    <definedName name="NamedRange3">'升級列表'!$C$1:$D$4</definedName>
    <definedName name="NamedRange2">'升級列表'!$A$1:$A$3</definedName>
    <definedName name="NamedRange4">'升級列表'!$F$1:$L$4</definedName>
  </definedNames>
  <calcPr/>
</workbook>
</file>

<file path=xl/sharedStrings.xml><?xml version="1.0" encoding="utf-8"?>
<sst xmlns="http://schemas.openxmlformats.org/spreadsheetml/2006/main" count="77" uniqueCount="46">
  <si>
    <t>種族</t>
  </si>
  <si>
    <t>aa</t>
  </si>
  <si>
    <t>聲望計算</t>
  </si>
  <si>
    <t>起始等級</t>
  </si>
  <si>
    <t>聲望累計</t>
  </si>
  <si>
    <t>職業</t>
  </si>
  <si>
    <t>tt</t>
  </si>
  <si>
    <t>最終等級</t>
  </si>
  <si>
    <t>目標等級</t>
  </si>
  <si>
    <t>僅需輸入所需之職業、等級及種族即可</t>
  </si>
  <si>
    <t>種族係數</t>
  </si>
  <si>
    <t>升級條件</t>
  </si>
  <si>
    <t>sc</t>
  </si>
  <si>
    <t>fr</t>
  </si>
  <si>
    <t>sr</t>
  </si>
  <si>
    <t>bn</t>
  </si>
  <si>
    <t>at</t>
  </si>
  <si>
    <t>tf</t>
  </si>
  <si>
    <t>丹道修養</t>
  </si>
  <si>
    <t>hn</t>
  </si>
  <si>
    <t>法術修為</t>
  </si>
  <si>
    <t>江湖歷練</t>
  </si>
  <si>
    <t>實戰經驗</t>
  </si>
  <si>
    <t>偷盜伎倆</t>
  </si>
  <si>
    <t>文書能力</t>
  </si>
  <si>
    <t>yh</t>
  </si>
  <si>
    <t>武術造詣</t>
  </si>
  <si>
    <t>兵刃精熟</t>
  </si>
  <si>
    <t>佛學修為</t>
  </si>
  <si>
    <t>偷窺能力</t>
  </si>
  <si>
    <t>文學造詣</t>
  </si>
  <si>
    <t>dl</t>
  </si>
  <si>
    <t>咒術道行</t>
  </si>
  <si>
    <t>武學之道</t>
  </si>
  <si>
    <t>戰場功勳</t>
  </si>
  <si>
    <t>禪定修養</t>
  </si>
  <si>
    <t>wn</t>
  </si>
  <si>
    <t>法術道行</t>
  </si>
  <si>
    <t>黑道聲望</t>
  </si>
  <si>
    <t>jo</t>
  </si>
  <si>
    <t>聲望</t>
  </si>
  <si>
    <t>bh</t>
  </si>
  <si>
    <t>rr</t>
  </si>
  <si>
    <t>hs</t>
  </si>
  <si>
    <t>ya</t>
  </si>
  <si>
    <t>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</si>
</sst>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24.0"/>
      <color rgb="FF9900FF"/>
    </font>
    <font>
      <sz val="24.0"/>
      <color rgb="FFFF0000"/>
    </font>
    <font>
      <sz val="24.0"/>
      <color rgb="FFFF0000"/>
      <name val="Times New Roman"/>
    </font>
    <font>
      <sz val="19.0"/>
    </font>
    <font/>
    <font>
      <sz val="24.0"/>
      <color rgb="FF6AA84F"/>
      <name val="Times New Roman"/>
    </font>
    <font>
      <sz val="41.0"/>
      <color rgb="FFFF00FF"/>
      <name val="細明體"/>
    </font>
    <font>
      <b/>
      <sz val="41.0"/>
      <color rgb="FFFF00FF"/>
      <name val="細明體"/>
    </font>
    <font>
      <sz val="18.0"/>
    </font>
    <font>
      <b/>
      <sz val="18.0"/>
      <color rgb="FF4A86E8"/>
    </font>
    <font>
      <sz val="18.0"/>
      <color rgb="FF0000FF"/>
    </font>
    <font>
      <sz val="18.0"/>
      <color rgb="FF6AA84F"/>
      <name val="Times New Roman"/>
    </font>
    <font>
      <sz val="18.0"/>
      <name val="Times New Roman"/>
    </font>
    <font>
      <sz val="19.0"/>
      <color rgb="FF0000FF"/>
    </font>
    <font>
      <sz val="19.0"/>
      <color rgb="FF6AA84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bottom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horizontal="center" shrinkToFit="0" vertical="bottom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75"/>
    <col customWidth="1" min="2" max="2" width="17.75"/>
    <col customWidth="1" min="3" max="3" width="5.13"/>
    <col customWidth="1" min="4" max="4" width="17.13"/>
    <col customWidth="1" min="5" max="5" width="7.75"/>
    <col customWidth="1" min="6" max="12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>
        <v>4.0</v>
      </c>
      <c r="F1" s="4" t="s">
        <v>4</v>
      </c>
    </row>
    <row r="2">
      <c r="A2" s="1" t="s">
        <v>5</v>
      </c>
      <c r="B2" s="5" t="s">
        <v>6</v>
      </c>
      <c r="D2" s="1" t="s">
        <v>7</v>
      </c>
      <c r="E2" s="3">
        <v>70.0</v>
      </c>
      <c r="F2" s="7">
        <f>sum(B27:B95)</f>
        <v>111881</v>
      </c>
      <c r="G2" s="8"/>
      <c r="H2" s="8"/>
      <c r="I2" s="8"/>
      <c r="J2" s="8"/>
      <c r="K2" s="8"/>
      <c r="L2" s="8"/>
    </row>
    <row r="3">
      <c r="A3" s="1" t="s">
        <v>8</v>
      </c>
      <c r="B3" s="3">
        <v>100.0</v>
      </c>
      <c r="F3" s="9" t="s">
        <v>9</v>
      </c>
    </row>
    <row r="4">
      <c r="A4" s="1" t="s">
        <v>10</v>
      </c>
      <c r="B4" s="10" t="str">
        <f>IF(B1="hn","100",IF(B1="yh","115",IF(B1="dl","95",IF(B1="wn","100",IF(B1="jo","95",IF(B1="bh","120",IF(B1="rr","100",IF(B1="hs","160",IF(B1="ya","140",IF(B1="aa","180",IF(B1="ml","150","種族錯誤")))))))))))</f>
        <v>180</v>
      </c>
    </row>
    <row r="5">
      <c r="A5" s="11"/>
      <c r="B5" s="12" t="s">
        <v>11</v>
      </c>
      <c r="C5" s="13"/>
      <c r="D5" s="14"/>
      <c r="E5" s="14"/>
      <c r="F5" s="15" t="s">
        <v>6</v>
      </c>
      <c r="G5" s="15" t="s">
        <v>12</v>
      </c>
      <c r="H5" s="15" t="s">
        <v>13</v>
      </c>
      <c r="I5" s="15" t="s">
        <v>14</v>
      </c>
      <c r="J5" s="15" t="s">
        <v>15</v>
      </c>
      <c r="K5" s="15" t="s">
        <v>16</v>
      </c>
      <c r="L5" s="15" t="s">
        <v>17</v>
      </c>
    </row>
    <row r="6" ht="21.0" customHeight="1">
      <c r="A6" s="16" t="s">
        <v>18</v>
      </c>
      <c r="B6" s="17" t="str">
        <f>IF(B2="at",(B3-1)^2*B4,"")</f>
        <v/>
      </c>
      <c r="C6" s="14"/>
      <c r="D6" s="18" t="s">
        <v>19</v>
      </c>
      <c r="E6" s="18">
        <v>100.0</v>
      </c>
      <c r="F6" s="15" t="s">
        <v>20</v>
      </c>
      <c r="G6" s="15" t="s">
        <v>21</v>
      </c>
      <c r="H6" s="15" t="s">
        <v>22</v>
      </c>
      <c r="I6" s="15" t="s">
        <v>22</v>
      </c>
      <c r="J6" s="15" t="s">
        <v>21</v>
      </c>
      <c r="K6" s="15" t="s">
        <v>21</v>
      </c>
      <c r="L6" s="15" t="s">
        <v>23</v>
      </c>
    </row>
    <row r="7" ht="21.0" customHeight="1">
      <c r="A7" s="16" t="s">
        <v>24</v>
      </c>
      <c r="B7" s="17" t="str">
        <f>IF(B2="sc",(B3-1)^2*0.5*B4,IF(AND(B2="bn",B3&gt;10),(B3-10)^2*B4,""))</f>
        <v/>
      </c>
      <c r="C7" s="14"/>
      <c r="D7" s="18" t="s">
        <v>25</v>
      </c>
      <c r="E7" s="18">
        <v>115.0</v>
      </c>
      <c r="F7" s="15" t="s">
        <v>21</v>
      </c>
      <c r="G7" s="15" t="s">
        <v>22</v>
      </c>
      <c r="H7" s="15" t="s">
        <v>26</v>
      </c>
      <c r="I7" s="15" t="s">
        <v>27</v>
      </c>
      <c r="J7" s="15" t="s">
        <v>28</v>
      </c>
      <c r="K7" s="15" t="s">
        <v>18</v>
      </c>
      <c r="L7" s="15" t="s">
        <v>29</v>
      </c>
    </row>
    <row r="8" ht="1.5" customHeight="1">
      <c r="A8" s="16" t="s">
        <v>30</v>
      </c>
      <c r="B8" s="17" t="str">
        <f>IF(AND(B2="sc",B3&gt;10),(B3-10)^2*0.5*B4,"")</f>
        <v/>
      </c>
      <c r="C8" s="14"/>
      <c r="D8" s="18" t="s">
        <v>31</v>
      </c>
      <c r="E8" s="18">
        <v>95.0</v>
      </c>
      <c r="F8" s="15" t="s">
        <v>32</v>
      </c>
      <c r="G8" s="15" t="s">
        <v>24</v>
      </c>
      <c r="H8" s="15" t="s">
        <v>33</v>
      </c>
      <c r="I8" s="15" t="s">
        <v>34</v>
      </c>
      <c r="J8" s="15" t="s">
        <v>35</v>
      </c>
      <c r="K8" s="15" t="s">
        <v>20</v>
      </c>
      <c r="L8" s="15" t="s">
        <v>21</v>
      </c>
    </row>
    <row r="9" ht="1.5" customHeight="1">
      <c r="A9" s="16" t="s">
        <v>21</v>
      </c>
      <c r="B9" s="17">
        <f>IF(OR(B2="tt",B2="sc",B2="bn",B2="at",B2="tf"),(B3-1)^2*B4,"")</f>
        <v>1764180</v>
      </c>
      <c r="C9" s="14"/>
      <c r="D9" s="18" t="s">
        <v>36</v>
      </c>
      <c r="E9" s="18">
        <v>100.0</v>
      </c>
      <c r="F9" s="15" t="s">
        <v>22</v>
      </c>
      <c r="G9" s="15" t="s">
        <v>30</v>
      </c>
      <c r="H9" s="14"/>
      <c r="I9" s="14"/>
      <c r="J9" s="15" t="s">
        <v>24</v>
      </c>
      <c r="K9" s="15" t="s">
        <v>37</v>
      </c>
      <c r="L9" s="15" t="s">
        <v>38</v>
      </c>
    </row>
    <row r="10" ht="21.0" customHeight="1">
      <c r="A10" s="16" t="s">
        <v>28</v>
      </c>
      <c r="B10" s="17" t="str">
        <f>IF(B2="bn",(B3-1)^2*B4,"")</f>
        <v/>
      </c>
      <c r="C10" s="14"/>
      <c r="D10" s="18" t="s">
        <v>39</v>
      </c>
      <c r="E10" s="18">
        <v>95.0</v>
      </c>
      <c r="F10" s="14"/>
      <c r="G10" s="15" t="s">
        <v>40</v>
      </c>
      <c r="H10" s="14"/>
      <c r="I10" s="14"/>
      <c r="J10" s="15" t="s">
        <v>40</v>
      </c>
      <c r="K10" s="14"/>
      <c r="L10" s="15" t="s">
        <v>22</v>
      </c>
    </row>
    <row r="11" ht="21.0" customHeight="1">
      <c r="A11" s="16" t="s">
        <v>27</v>
      </c>
      <c r="B11" s="17" t="str">
        <f>IF(B2="sr",(B3-1)^2*2*B4,"")</f>
        <v/>
      </c>
      <c r="C11" s="14"/>
      <c r="D11" s="18" t="s">
        <v>41</v>
      </c>
      <c r="E11" s="18">
        <v>120.0</v>
      </c>
      <c r="F11" s="14"/>
      <c r="G11" s="14"/>
      <c r="H11" s="14"/>
      <c r="I11" s="14"/>
      <c r="J11" s="14"/>
      <c r="K11" s="14"/>
      <c r="L11" s="14"/>
    </row>
    <row r="12" ht="21.0" customHeight="1">
      <c r="A12" s="16" t="s">
        <v>32</v>
      </c>
      <c r="B12" s="17">
        <f>IF(AND(B2="tt",B3&gt;10),(B3-10)^2*B4,"")</f>
        <v>1458000</v>
      </c>
      <c r="C12" s="14"/>
      <c r="D12" s="18" t="s">
        <v>42</v>
      </c>
      <c r="E12" s="18">
        <v>100.0</v>
      </c>
      <c r="F12" s="14"/>
      <c r="G12" s="14"/>
      <c r="H12" s="14"/>
      <c r="I12" s="14"/>
      <c r="J12" s="14"/>
      <c r="K12" s="14"/>
      <c r="L12" s="14"/>
    </row>
    <row r="13" ht="21.0" customHeight="1">
      <c r="A13" s="16" t="s">
        <v>26</v>
      </c>
      <c r="B13" s="17" t="str">
        <f>IF(B2="fr",(B3-1)^2*1.5*B4,"")</f>
        <v/>
      </c>
      <c r="C13" s="14"/>
      <c r="D13" s="18" t="s">
        <v>43</v>
      </c>
      <c r="E13" s="18">
        <v>160.0</v>
      </c>
      <c r="F13" s="14"/>
      <c r="G13" s="14"/>
      <c r="H13" s="14"/>
      <c r="I13" s="14"/>
      <c r="J13" s="14"/>
      <c r="K13" s="14"/>
      <c r="L13" s="14"/>
    </row>
    <row r="14" ht="21.0" customHeight="1">
      <c r="A14" s="16" t="s">
        <v>33</v>
      </c>
      <c r="B14" s="17" t="str">
        <f>IF(AND(B2="fr",B3&gt;10),(B3-10)^2*B4,"")</f>
        <v/>
      </c>
      <c r="C14" s="14"/>
      <c r="D14" s="18" t="s">
        <v>44</v>
      </c>
      <c r="E14" s="18">
        <v>140.0</v>
      </c>
      <c r="F14" s="14"/>
      <c r="G14" s="14"/>
      <c r="H14" s="14"/>
      <c r="I14" s="14"/>
      <c r="J14" s="14"/>
      <c r="K14" s="14"/>
      <c r="L14" s="14"/>
    </row>
    <row r="15" ht="21.0" customHeight="1">
      <c r="A15" s="16" t="s">
        <v>20</v>
      </c>
      <c r="B15" s="17">
        <f>IF(B2="tt",(B3-1)^2*1.5*B4,IF(B2="at",(B3-6)^2*1.5*B4,""))</f>
        <v>2646270</v>
      </c>
      <c r="C15" s="14"/>
      <c r="D15" s="18" t="s">
        <v>1</v>
      </c>
      <c r="E15" s="18">
        <v>180.0</v>
      </c>
      <c r="F15" s="14"/>
      <c r="G15" s="14"/>
      <c r="H15" s="14"/>
      <c r="I15" s="14"/>
      <c r="J15" s="14"/>
      <c r="K15" s="14"/>
      <c r="L15" s="14"/>
    </row>
    <row r="16" ht="21.0" customHeight="1">
      <c r="A16" s="16" t="s">
        <v>37</v>
      </c>
      <c r="B16" s="17" t="str">
        <f>IF(AND(B2="at",B3&gt;16),(B3-16)^2*B4,"")</f>
        <v/>
      </c>
      <c r="C16" s="14"/>
      <c r="D16" s="18" t="s">
        <v>45</v>
      </c>
      <c r="E16" s="18">
        <v>150.0</v>
      </c>
      <c r="F16" s="14"/>
      <c r="G16" s="14"/>
      <c r="H16" s="14"/>
      <c r="I16" s="14"/>
      <c r="J16" s="14"/>
      <c r="K16" s="14"/>
      <c r="L16" s="14"/>
    </row>
    <row r="17" ht="21.0" customHeight="1">
      <c r="A17" s="16" t="s">
        <v>23</v>
      </c>
      <c r="B17" s="17" t="str">
        <f>IF(B2="tf",(B3-1)^2*B4,"")</f>
        <v/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ht="21.0" customHeight="1">
      <c r="A18" s="16" t="s">
        <v>29</v>
      </c>
      <c r="B18" s="17" t="str">
        <f>IF(B2="tf",(B3-1)^2*0.5*B4,"")</f>
        <v/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ht="21.0" customHeight="1">
      <c r="A19" s="16" t="s">
        <v>38</v>
      </c>
      <c r="B19" s="17" t="str">
        <f>IF(AND(B2="tf",B3&gt;10),(B3-10)^2*B4,"")</f>
        <v/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21.0" customHeight="1">
      <c r="A20" s="16" t="s">
        <v>22</v>
      </c>
      <c r="B20" s="17">
        <f>IF(AND(B2="tt",B3&gt;11),(B3-11)^2*B4,IF(B2="sc",(B3-1)^2*B4,IF(B2="fr",(B3-1)^2*1.5*B4,IF(B2="sr",(B3-1)^2*2*B4,IF(AND(B2="tf",B3&gt;10),(B3-10)^2*B4,"")))))</f>
        <v>1425780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21.0" customHeight="1">
      <c r="A21" s="16" t="s">
        <v>34</v>
      </c>
      <c r="B21" s="17" t="str">
        <f>IF(AND(B2="sr",B3&gt;30),(B3-30)^2*B4,"")</f>
        <v/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21.0" customHeight="1">
      <c r="A22" s="16" t="s">
        <v>35</v>
      </c>
      <c r="B22" s="17" t="str">
        <f>IF(AND(B2="bn",B3&gt;10),(B3-10)^2*B4,"")</f>
        <v/>
      </c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.5" customHeight="1">
      <c r="A23" s="16" t="s">
        <v>40</v>
      </c>
      <c r="B23" s="17" t="str">
        <f>IF(AND(B2="sc",B3&gt;10),(B3-10)^2*0.5*B4,IF(AND(B2="bn",B3&gt;30),(B3-30)^2*B4,""))</f>
        <v/>
      </c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>
      <c r="A24" s="19"/>
      <c r="B24" s="20"/>
      <c r="C24" s="13"/>
      <c r="D24" s="14"/>
      <c r="E24" s="14"/>
      <c r="F24" s="14"/>
      <c r="G24" s="14"/>
      <c r="H24" s="14"/>
      <c r="I24" s="14"/>
      <c r="J24" s="14"/>
      <c r="K24" s="14"/>
      <c r="L24" s="14"/>
    </row>
    <row r="25">
      <c r="A25" s="19"/>
      <c r="B25" s="20"/>
      <c r="C25" s="13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9"/>
      <c r="B26" s="20"/>
      <c r="C26" s="13"/>
      <c r="D26" s="14"/>
      <c r="E26" s="14"/>
      <c r="F26" s="14"/>
      <c r="G26" s="14"/>
      <c r="H26" s="14"/>
      <c r="I26" s="14"/>
      <c r="J26" s="14"/>
      <c r="K26" s="14"/>
      <c r="L26" s="14"/>
    </row>
    <row r="27">
      <c r="A27" s="21">
        <f>IF(AND($E$1&lt;$E$2,$E$1&gt;=1,$E1+1&lt;E2),E1,0)</f>
        <v>4</v>
      </c>
      <c r="B27" s="22">
        <f t="shared" ref="B27:B95" si="1">IF(A27^2&gt;0,A27^2,0)</f>
        <v>16</v>
      </c>
      <c r="C27" s="13"/>
      <c r="D27" s="14"/>
      <c r="E27" s="14"/>
      <c r="F27" s="14"/>
      <c r="G27" s="14"/>
      <c r="H27" s="14"/>
      <c r="I27" s="14"/>
      <c r="J27" s="14"/>
      <c r="K27" s="14"/>
      <c r="L27" s="14"/>
    </row>
    <row r="28">
      <c r="A28" s="21">
        <f t="shared" ref="A28:A95" si="2">IF(AND($E$1&lt;$E$2,$E$1&gt;=1,$A27+1&lt;$E$2,A27&gt;0),$A27+1,0)</f>
        <v>5</v>
      </c>
      <c r="B28" s="22">
        <f t="shared" si="1"/>
        <v>25</v>
      </c>
      <c r="C28" s="13"/>
      <c r="D28" s="14"/>
      <c r="E28" s="14"/>
      <c r="F28" s="14"/>
      <c r="G28" s="14"/>
      <c r="H28" s="14"/>
      <c r="I28" s="14"/>
      <c r="J28" s="14"/>
      <c r="K28" s="14"/>
      <c r="L28" s="14"/>
    </row>
    <row r="29">
      <c r="A29" s="21">
        <f t="shared" si="2"/>
        <v>6</v>
      </c>
      <c r="B29" s="22">
        <f t="shared" si="1"/>
        <v>36</v>
      </c>
      <c r="C29" s="13"/>
      <c r="D29" s="14"/>
      <c r="E29" s="14"/>
      <c r="F29" s="14"/>
      <c r="G29" s="14"/>
      <c r="H29" s="14"/>
      <c r="I29" s="14"/>
      <c r="J29" s="14"/>
      <c r="K29" s="14"/>
      <c r="L29" s="14"/>
    </row>
    <row r="30">
      <c r="A30" s="21">
        <f t="shared" si="2"/>
        <v>7</v>
      </c>
      <c r="B30" s="22">
        <f t="shared" si="1"/>
        <v>49</v>
      </c>
      <c r="C30" s="13"/>
      <c r="D30" s="14"/>
      <c r="E30" s="14"/>
      <c r="F30" s="14"/>
      <c r="G30" s="14"/>
      <c r="H30" s="14"/>
      <c r="I30" s="14"/>
      <c r="J30" s="14"/>
      <c r="K30" s="14"/>
      <c r="L30" s="14"/>
    </row>
    <row r="31">
      <c r="A31" s="21">
        <f t="shared" si="2"/>
        <v>8</v>
      </c>
      <c r="B31" s="22">
        <f t="shared" si="1"/>
        <v>64</v>
      </c>
      <c r="C31" s="13"/>
      <c r="D31" s="14"/>
      <c r="E31" s="14"/>
      <c r="F31" s="14"/>
      <c r="G31" s="14"/>
      <c r="H31" s="14"/>
      <c r="I31" s="14"/>
      <c r="J31" s="14"/>
      <c r="K31" s="14"/>
      <c r="L31" s="14"/>
    </row>
    <row r="32">
      <c r="A32" s="21">
        <f t="shared" si="2"/>
        <v>9</v>
      </c>
      <c r="B32" s="22">
        <f t="shared" si="1"/>
        <v>81</v>
      </c>
      <c r="C32" s="13"/>
      <c r="D32" s="14"/>
      <c r="E32" s="14"/>
      <c r="F32" s="14"/>
      <c r="G32" s="14"/>
      <c r="H32" s="14"/>
      <c r="I32" s="14"/>
      <c r="J32" s="14"/>
      <c r="K32" s="14"/>
      <c r="L32" s="14"/>
    </row>
    <row r="33">
      <c r="A33" s="21">
        <f t="shared" si="2"/>
        <v>10</v>
      </c>
      <c r="B33" s="22">
        <f t="shared" si="1"/>
        <v>100</v>
      </c>
      <c r="C33" s="13"/>
      <c r="D33" s="14"/>
      <c r="E33" s="14"/>
      <c r="F33" s="14"/>
      <c r="G33" s="14"/>
      <c r="H33" s="14"/>
      <c r="I33" s="14"/>
      <c r="J33" s="14"/>
      <c r="K33" s="14"/>
      <c r="L33" s="14"/>
    </row>
    <row r="34">
      <c r="A34" s="21">
        <f t="shared" si="2"/>
        <v>11</v>
      </c>
      <c r="B34" s="22">
        <f t="shared" si="1"/>
        <v>121</v>
      </c>
      <c r="C34" s="13"/>
      <c r="D34" s="14"/>
      <c r="E34" s="14"/>
      <c r="F34" s="14"/>
      <c r="G34" s="14"/>
      <c r="H34" s="14"/>
      <c r="I34" s="14"/>
      <c r="J34" s="14"/>
      <c r="K34" s="14"/>
      <c r="L34" s="14"/>
    </row>
    <row r="35">
      <c r="A35" s="21">
        <f t="shared" si="2"/>
        <v>12</v>
      </c>
      <c r="B35" s="22">
        <f t="shared" si="1"/>
        <v>144</v>
      </c>
      <c r="C35" s="13"/>
      <c r="D35" s="14"/>
      <c r="E35" s="14"/>
      <c r="F35" s="14"/>
      <c r="G35" s="14"/>
      <c r="H35" s="14"/>
      <c r="I35" s="14"/>
      <c r="J35" s="14"/>
      <c r="K35" s="14"/>
      <c r="L35" s="14"/>
    </row>
    <row r="36">
      <c r="A36" s="21">
        <f t="shared" si="2"/>
        <v>13</v>
      </c>
      <c r="B36" s="22">
        <f t="shared" si="1"/>
        <v>169</v>
      </c>
      <c r="C36" s="13"/>
      <c r="D36" s="14"/>
      <c r="E36" s="14"/>
      <c r="F36" s="14"/>
      <c r="G36" s="14"/>
      <c r="H36" s="14"/>
      <c r="I36" s="14"/>
      <c r="J36" s="14"/>
      <c r="K36" s="14"/>
      <c r="L36" s="14"/>
    </row>
    <row r="37">
      <c r="A37" s="21">
        <f t="shared" si="2"/>
        <v>14</v>
      </c>
      <c r="B37" s="22">
        <f t="shared" si="1"/>
        <v>196</v>
      </c>
      <c r="C37" s="13"/>
      <c r="D37" s="14"/>
      <c r="E37" s="14"/>
      <c r="F37" s="14"/>
      <c r="G37" s="14"/>
      <c r="H37" s="14"/>
      <c r="I37" s="14"/>
      <c r="J37" s="14"/>
      <c r="K37" s="14"/>
      <c r="L37" s="14"/>
    </row>
    <row r="38">
      <c r="A38" s="21">
        <f t="shared" si="2"/>
        <v>15</v>
      </c>
      <c r="B38" s="22">
        <f t="shared" si="1"/>
        <v>225</v>
      </c>
      <c r="C38" s="13"/>
      <c r="D38" s="14"/>
      <c r="E38" s="14"/>
      <c r="F38" s="14"/>
      <c r="G38" s="14"/>
      <c r="H38" s="14"/>
      <c r="I38" s="14"/>
      <c r="J38" s="14"/>
      <c r="K38" s="14"/>
      <c r="L38" s="14"/>
    </row>
    <row r="39">
      <c r="A39" s="21">
        <f t="shared" si="2"/>
        <v>16</v>
      </c>
      <c r="B39" s="22">
        <f t="shared" si="1"/>
        <v>256</v>
      </c>
      <c r="C39" s="13"/>
      <c r="D39" s="14"/>
      <c r="E39" s="14"/>
      <c r="F39" s="14"/>
      <c r="G39" s="14"/>
      <c r="H39" s="14"/>
      <c r="I39" s="14"/>
      <c r="J39" s="14"/>
      <c r="K39" s="14"/>
      <c r="L39" s="14"/>
    </row>
    <row r="40">
      <c r="A40" s="21">
        <f t="shared" si="2"/>
        <v>17</v>
      </c>
      <c r="B40" s="22">
        <f t="shared" si="1"/>
        <v>289</v>
      </c>
      <c r="C40" s="13"/>
      <c r="D40" s="14"/>
      <c r="E40" s="14"/>
      <c r="F40" s="14"/>
      <c r="G40" s="14"/>
      <c r="H40" s="14"/>
      <c r="I40" s="14"/>
      <c r="J40" s="14"/>
      <c r="K40" s="14"/>
      <c r="L40" s="14"/>
    </row>
    <row r="41">
      <c r="A41" s="21">
        <f t="shared" si="2"/>
        <v>18</v>
      </c>
      <c r="B41" s="22">
        <f t="shared" si="1"/>
        <v>324</v>
      </c>
      <c r="C41" s="13"/>
      <c r="D41" s="14"/>
      <c r="E41" s="14"/>
      <c r="F41" s="14"/>
      <c r="G41" s="14"/>
      <c r="H41" s="14"/>
      <c r="I41" s="14"/>
      <c r="J41" s="14"/>
      <c r="K41" s="14"/>
      <c r="L41" s="14"/>
    </row>
    <row r="42">
      <c r="A42" s="21">
        <f t="shared" si="2"/>
        <v>19</v>
      </c>
      <c r="B42" s="22">
        <f t="shared" si="1"/>
        <v>361</v>
      </c>
      <c r="C42" s="13"/>
      <c r="D42" s="14"/>
      <c r="E42" s="14"/>
      <c r="F42" s="14"/>
      <c r="G42" s="14"/>
      <c r="H42" s="14"/>
      <c r="I42" s="14"/>
      <c r="J42" s="14"/>
      <c r="K42" s="14"/>
      <c r="L42" s="14"/>
    </row>
    <row r="43">
      <c r="A43" s="21">
        <f t="shared" si="2"/>
        <v>20</v>
      </c>
      <c r="B43" s="22">
        <f t="shared" si="1"/>
        <v>400</v>
      </c>
      <c r="C43" s="13"/>
      <c r="D43" s="14"/>
      <c r="E43" s="14"/>
      <c r="F43" s="14"/>
      <c r="G43" s="14"/>
      <c r="H43" s="14"/>
      <c r="I43" s="14"/>
      <c r="J43" s="14"/>
      <c r="K43" s="14"/>
      <c r="L43" s="14"/>
    </row>
    <row r="44">
      <c r="A44" s="21">
        <f t="shared" si="2"/>
        <v>21</v>
      </c>
      <c r="B44" s="22">
        <f t="shared" si="1"/>
        <v>441</v>
      </c>
      <c r="C44" s="13"/>
      <c r="D44" s="14"/>
      <c r="E44" s="14"/>
      <c r="F44" s="14"/>
      <c r="G44" s="14"/>
      <c r="H44" s="14"/>
      <c r="I44" s="14"/>
      <c r="J44" s="14"/>
      <c r="K44" s="14"/>
      <c r="L44" s="14"/>
    </row>
    <row r="45">
      <c r="A45" s="21">
        <f t="shared" si="2"/>
        <v>22</v>
      </c>
      <c r="B45" s="22">
        <f t="shared" si="1"/>
        <v>484</v>
      </c>
      <c r="C45" s="13"/>
      <c r="D45" s="14"/>
      <c r="E45" s="14"/>
      <c r="F45" s="14"/>
      <c r="G45" s="14"/>
      <c r="H45" s="14"/>
      <c r="I45" s="14"/>
      <c r="J45" s="14"/>
      <c r="K45" s="14"/>
      <c r="L45" s="14"/>
    </row>
    <row r="46">
      <c r="A46" s="21">
        <f t="shared" si="2"/>
        <v>23</v>
      </c>
      <c r="B46" s="22">
        <f t="shared" si="1"/>
        <v>529</v>
      </c>
      <c r="C46" s="13"/>
      <c r="D46" s="14"/>
      <c r="E46" s="14"/>
      <c r="F46" s="14"/>
      <c r="G46" s="14"/>
      <c r="H46" s="14"/>
      <c r="I46" s="14"/>
      <c r="J46" s="14"/>
      <c r="K46" s="14"/>
      <c r="L46" s="14"/>
    </row>
    <row r="47">
      <c r="A47" s="21">
        <f t="shared" si="2"/>
        <v>24</v>
      </c>
      <c r="B47" s="22">
        <f t="shared" si="1"/>
        <v>576</v>
      </c>
      <c r="C47" s="13"/>
      <c r="D47" s="14"/>
      <c r="E47" s="14"/>
      <c r="F47" s="14"/>
      <c r="G47" s="14"/>
      <c r="H47" s="14"/>
      <c r="I47" s="14"/>
      <c r="J47" s="14"/>
      <c r="K47" s="14"/>
      <c r="L47" s="14"/>
    </row>
    <row r="48">
      <c r="A48" s="21">
        <f t="shared" si="2"/>
        <v>25</v>
      </c>
      <c r="B48" s="22">
        <f t="shared" si="1"/>
        <v>625</v>
      </c>
      <c r="C48" s="13"/>
      <c r="D48" s="14"/>
      <c r="E48" s="14"/>
      <c r="F48" s="14"/>
      <c r="G48" s="14"/>
      <c r="H48" s="14"/>
      <c r="I48" s="14"/>
      <c r="J48" s="14"/>
      <c r="K48" s="14"/>
      <c r="L48" s="14"/>
    </row>
    <row r="49">
      <c r="A49" s="21">
        <f t="shared" si="2"/>
        <v>26</v>
      </c>
      <c r="B49" s="22">
        <f t="shared" si="1"/>
        <v>676</v>
      </c>
      <c r="C49" s="13"/>
      <c r="D49" s="14"/>
      <c r="E49" s="14"/>
      <c r="F49" s="14"/>
      <c r="G49" s="14"/>
      <c r="H49" s="14"/>
      <c r="I49" s="14"/>
      <c r="J49" s="14"/>
      <c r="K49" s="14"/>
      <c r="L49" s="14"/>
    </row>
    <row r="50">
      <c r="A50" s="21">
        <f t="shared" si="2"/>
        <v>27</v>
      </c>
      <c r="B50" s="22">
        <f t="shared" si="1"/>
        <v>729</v>
      </c>
      <c r="C50" s="13"/>
      <c r="D50" s="14"/>
      <c r="E50" s="14"/>
      <c r="F50" s="14"/>
      <c r="G50" s="14"/>
      <c r="H50" s="14"/>
      <c r="I50" s="14"/>
      <c r="J50" s="14"/>
      <c r="K50" s="14"/>
      <c r="L50" s="14"/>
    </row>
    <row r="51">
      <c r="A51" s="21">
        <f t="shared" si="2"/>
        <v>28</v>
      </c>
      <c r="B51" s="22">
        <f t="shared" si="1"/>
        <v>784</v>
      </c>
      <c r="C51" s="13"/>
      <c r="D51" s="14"/>
      <c r="E51" s="14"/>
      <c r="F51" s="14"/>
      <c r="G51" s="14"/>
      <c r="H51" s="14"/>
      <c r="I51" s="14"/>
      <c r="J51" s="14"/>
      <c r="K51" s="14"/>
      <c r="L51" s="14"/>
    </row>
    <row r="52">
      <c r="A52" s="21">
        <f t="shared" si="2"/>
        <v>29</v>
      </c>
      <c r="B52" s="22">
        <f t="shared" si="1"/>
        <v>841</v>
      </c>
      <c r="C52" s="13"/>
      <c r="D52" s="14"/>
      <c r="E52" s="14"/>
      <c r="F52" s="14"/>
      <c r="G52" s="14"/>
      <c r="H52" s="14"/>
      <c r="I52" s="14"/>
      <c r="J52" s="14"/>
      <c r="K52" s="14"/>
      <c r="L52" s="14"/>
    </row>
    <row r="53">
      <c r="A53" s="21">
        <f t="shared" si="2"/>
        <v>30</v>
      </c>
      <c r="B53" s="22">
        <f t="shared" si="1"/>
        <v>900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</row>
    <row r="54">
      <c r="A54" s="21">
        <f t="shared" si="2"/>
        <v>31</v>
      </c>
      <c r="B54" s="22">
        <f t="shared" si="1"/>
        <v>961</v>
      </c>
      <c r="C54" s="13"/>
      <c r="D54" s="14"/>
      <c r="E54" s="14"/>
      <c r="F54" s="14"/>
      <c r="G54" s="14"/>
      <c r="H54" s="14"/>
      <c r="I54" s="14"/>
      <c r="J54" s="14"/>
      <c r="K54" s="14"/>
      <c r="L54" s="14"/>
    </row>
    <row r="55">
      <c r="A55" s="21">
        <f t="shared" si="2"/>
        <v>32</v>
      </c>
      <c r="B55" s="22">
        <f t="shared" si="1"/>
        <v>1024</v>
      </c>
      <c r="C55" s="13"/>
      <c r="D55" s="14"/>
      <c r="E55" s="14"/>
      <c r="F55" s="14"/>
      <c r="G55" s="14"/>
      <c r="H55" s="14"/>
      <c r="I55" s="14"/>
      <c r="J55" s="14"/>
      <c r="K55" s="14"/>
      <c r="L55" s="14"/>
    </row>
    <row r="56">
      <c r="A56" s="21">
        <f t="shared" si="2"/>
        <v>33</v>
      </c>
      <c r="B56" s="22">
        <f t="shared" si="1"/>
        <v>1089</v>
      </c>
      <c r="C56" s="13"/>
      <c r="D56" s="14"/>
      <c r="E56" s="14"/>
      <c r="F56" s="14"/>
      <c r="G56" s="14"/>
      <c r="H56" s="14"/>
      <c r="I56" s="14"/>
      <c r="J56" s="14"/>
      <c r="K56" s="14"/>
      <c r="L56" s="14"/>
    </row>
    <row r="57">
      <c r="A57" s="21">
        <f t="shared" si="2"/>
        <v>34</v>
      </c>
      <c r="B57" s="22">
        <f t="shared" si="1"/>
        <v>1156</v>
      </c>
      <c r="C57" s="13"/>
      <c r="D57" s="14"/>
      <c r="E57" s="14"/>
      <c r="F57" s="14"/>
      <c r="G57" s="14"/>
      <c r="H57" s="14"/>
      <c r="I57" s="14"/>
      <c r="J57" s="14"/>
      <c r="K57" s="14"/>
      <c r="L57" s="14"/>
    </row>
    <row r="58">
      <c r="A58" s="21">
        <f t="shared" si="2"/>
        <v>35</v>
      </c>
      <c r="B58" s="22">
        <f t="shared" si="1"/>
        <v>1225</v>
      </c>
      <c r="C58" s="13"/>
      <c r="D58" s="14"/>
      <c r="E58" s="14"/>
      <c r="F58" s="14"/>
      <c r="G58" s="14"/>
      <c r="H58" s="14"/>
      <c r="I58" s="14"/>
      <c r="J58" s="14"/>
      <c r="K58" s="14"/>
      <c r="L58" s="14"/>
    </row>
    <row r="59">
      <c r="A59" s="21">
        <f t="shared" si="2"/>
        <v>36</v>
      </c>
      <c r="B59" s="22">
        <f t="shared" si="1"/>
        <v>1296</v>
      </c>
      <c r="C59" s="13"/>
      <c r="D59" s="14"/>
      <c r="E59" s="14"/>
      <c r="F59" s="14"/>
      <c r="G59" s="14"/>
      <c r="H59" s="14"/>
      <c r="I59" s="14"/>
      <c r="J59" s="14"/>
      <c r="K59" s="14"/>
      <c r="L59" s="14"/>
    </row>
    <row r="60">
      <c r="A60" s="21">
        <f t="shared" si="2"/>
        <v>37</v>
      </c>
      <c r="B60" s="22">
        <f t="shared" si="1"/>
        <v>1369</v>
      </c>
      <c r="C60" s="13"/>
      <c r="D60" s="14"/>
      <c r="E60" s="14"/>
      <c r="F60" s="14"/>
      <c r="G60" s="14"/>
      <c r="H60" s="14"/>
      <c r="I60" s="14"/>
      <c r="J60" s="14"/>
      <c r="K60" s="14"/>
      <c r="L60" s="14"/>
    </row>
    <row r="61">
      <c r="A61" s="21">
        <f t="shared" si="2"/>
        <v>38</v>
      </c>
      <c r="B61" s="22">
        <f t="shared" si="1"/>
        <v>1444</v>
      </c>
      <c r="C61" s="13"/>
      <c r="D61" s="14"/>
      <c r="E61" s="14"/>
      <c r="F61" s="14"/>
      <c r="G61" s="14"/>
      <c r="H61" s="14"/>
      <c r="I61" s="14"/>
      <c r="J61" s="14"/>
      <c r="K61" s="14"/>
      <c r="L61" s="14"/>
    </row>
    <row r="62">
      <c r="A62" s="21">
        <f t="shared" si="2"/>
        <v>39</v>
      </c>
      <c r="B62" s="22">
        <f t="shared" si="1"/>
        <v>1521</v>
      </c>
      <c r="C62" s="13"/>
      <c r="D62" s="14"/>
      <c r="E62" s="14"/>
      <c r="F62" s="14"/>
      <c r="G62" s="14"/>
      <c r="H62" s="14"/>
      <c r="I62" s="14"/>
      <c r="J62" s="14"/>
      <c r="K62" s="14"/>
      <c r="L62" s="14"/>
    </row>
    <row r="63">
      <c r="A63" s="21">
        <f t="shared" si="2"/>
        <v>40</v>
      </c>
      <c r="B63" s="22">
        <f t="shared" si="1"/>
        <v>1600</v>
      </c>
      <c r="C63" s="13"/>
      <c r="D63" s="14"/>
      <c r="E63" s="14"/>
      <c r="F63" s="14"/>
      <c r="G63" s="14"/>
      <c r="H63" s="14"/>
      <c r="I63" s="14"/>
      <c r="J63" s="14"/>
      <c r="K63" s="14"/>
      <c r="L63" s="14"/>
    </row>
    <row r="64">
      <c r="A64" s="21">
        <f t="shared" si="2"/>
        <v>41</v>
      </c>
      <c r="B64" s="22">
        <f t="shared" si="1"/>
        <v>1681</v>
      </c>
      <c r="C64" s="13"/>
      <c r="D64" s="14"/>
      <c r="E64" s="14"/>
      <c r="F64" s="14"/>
      <c r="G64" s="14"/>
      <c r="H64" s="14"/>
      <c r="I64" s="14"/>
      <c r="J64" s="14"/>
      <c r="K64" s="14"/>
      <c r="L64" s="14"/>
    </row>
    <row r="65">
      <c r="A65" s="21">
        <f t="shared" si="2"/>
        <v>42</v>
      </c>
      <c r="B65" s="22">
        <f t="shared" si="1"/>
        <v>1764</v>
      </c>
      <c r="C65" s="13"/>
      <c r="D65" s="14"/>
      <c r="E65" s="14"/>
      <c r="F65" s="14"/>
      <c r="G65" s="14"/>
      <c r="H65" s="14"/>
      <c r="I65" s="14"/>
      <c r="J65" s="14"/>
      <c r="K65" s="14"/>
      <c r="L65" s="14"/>
    </row>
    <row r="66">
      <c r="A66" s="21">
        <f t="shared" si="2"/>
        <v>43</v>
      </c>
      <c r="B66" s="22">
        <f t="shared" si="1"/>
        <v>1849</v>
      </c>
      <c r="C66" s="13"/>
      <c r="D66" s="14"/>
      <c r="E66" s="14"/>
      <c r="F66" s="14"/>
      <c r="G66" s="14"/>
      <c r="H66" s="14"/>
      <c r="I66" s="14"/>
      <c r="J66" s="14"/>
      <c r="K66" s="14"/>
      <c r="L66" s="14"/>
    </row>
    <row r="67">
      <c r="A67" s="21">
        <f t="shared" si="2"/>
        <v>44</v>
      </c>
      <c r="B67" s="22">
        <f t="shared" si="1"/>
        <v>1936</v>
      </c>
      <c r="C67" s="13"/>
      <c r="D67" s="14"/>
      <c r="E67" s="14"/>
      <c r="F67" s="14"/>
      <c r="G67" s="14"/>
      <c r="H67" s="14"/>
      <c r="I67" s="14"/>
      <c r="J67" s="14"/>
      <c r="K67" s="14"/>
      <c r="L67" s="14"/>
    </row>
    <row r="68">
      <c r="A68" s="21">
        <f t="shared" si="2"/>
        <v>45</v>
      </c>
      <c r="B68" s="22">
        <f t="shared" si="1"/>
        <v>2025</v>
      </c>
      <c r="C68" s="13"/>
      <c r="D68" s="14"/>
      <c r="E68" s="14"/>
      <c r="F68" s="14"/>
      <c r="G68" s="14"/>
      <c r="H68" s="14"/>
      <c r="I68" s="14"/>
      <c r="J68" s="14"/>
      <c r="K68" s="14"/>
      <c r="L68" s="14"/>
    </row>
    <row r="69">
      <c r="A69" s="21">
        <f t="shared" si="2"/>
        <v>46</v>
      </c>
      <c r="B69" s="22">
        <f t="shared" si="1"/>
        <v>2116</v>
      </c>
      <c r="C69" s="13"/>
      <c r="D69" s="14"/>
      <c r="E69" s="14"/>
      <c r="F69" s="14"/>
      <c r="G69" s="14"/>
      <c r="H69" s="14"/>
      <c r="I69" s="14"/>
      <c r="J69" s="14"/>
      <c r="K69" s="14"/>
      <c r="L69" s="14"/>
    </row>
    <row r="70">
      <c r="A70" s="21">
        <f t="shared" si="2"/>
        <v>47</v>
      </c>
      <c r="B70" s="22">
        <f t="shared" si="1"/>
        <v>2209</v>
      </c>
      <c r="C70" s="13"/>
      <c r="D70" s="14"/>
      <c r="E70" s="14"/>
      <c r="F70" s="14"/>
      <c r="G70" s="14"/>
      <c r="H70" s="14"/>
      <c r="I70" s="14"/>
      <c r="J70" s="14"/>
      <c r="K70" s="14"/>
      <c r="L70" s="14"/>
    </row>
    <row r="71">
      <c r="A71" s="21">
        <f t="shared" si="2"/>
        <v>48</v>
      </c>
      <c r="B71" s="22">
        <f t="shared" si="1"/>
        <v>2304</v>
      </c>
      <c r="C71" s="13"/>
      <c r="D71" s="14"/>
      <c r="E71" s="14"/>
      <c r="F71" s="14"/>
      <c r="G71" s="14"/>
      <c r="H71" s="14"/>
      <c r="I71" s="14"/>
      <c r="J71" s="14"/>
      <c r="K71" s="14"/>
      <c r="L71" s="14"/>
    </row>
    <row r="72">
      <c r="A72" s="21">
        <f t="shared" si="2"/>
        <v>49</v>
      </c>
      <c r="B72" s="22">
        <f t="shared" si="1"/>
        <v>2401</v>
      </c>
      <c r="C72" s="13"/>
      <c r="D72" s="14"/>
      <c r="E72" s="14"/>
      <c r="F72" s="14"/>
      <c r="G72" s="14"/>
      <c r="H72" s="14"/>
      <c r="I72" s="14"/>
      <c r="J72" s="14"/>
      <c r="K72" s="14"/>
      <c r="L72" s="14"/>
    </row>
    <row r="73">
      <c r="A73" s="21">
        <f t="shared" si="2"/>
        <v>50</v>
      </c>
      <c r="B73" s="22">
        <f t="shared" si="1"/>
        <v>2500</v>
      </c>
      <c r="C73" s="13"/>
      <c r="D73" s="14"/>
      <c r="E73" s="14"/>
      <c r="F73" s="14"/>
      <c r="G73" s="14"/>
      <c r="H73" s="14"/>
      <c r="I73" s="14"/>
      <c r="J73" s="14"/>
      <c r="K73" s="14"/>
      <c r="L73" s="14"/>
    </row>
    <row r="74">
      <c r="A74" s="21">
        <f t="shared" si="2"/>
        <v>51</v>
      </c>
      <c r="B74" s="22">
        <f t="shared" si="1"/>
        <v>2601</v>
      </c>
      <c r="C74" s="13"/>
      <c r="D74" s="14"/>
      <c r="E74" s="14"/>
      <c r="F74" s="14"/>
      <c r="G74" s="14"/>
      <c r="H74" s="14"/>
      <c r="I74" s="14"/>
      <c r="J74" s="14"/>
      <c r="K74" s="14"/>
      <c r="L74" s="14"/>
    </row>
    <row r="75">
      <c r="A75" s="21">
        <f t="shared" si="2"/>
        <v>52</v>
      </c>
      <c r="B75" s="22">
        <f t="shared" si="1"/>
        <v>2704</v>
      </c>
      <c r="C75" s="13"/>
      <c r="D75" s="14"/>
      <c r="E75" s="14"/>
      <c r="F75" s="14"/>
      <c r="G75" s="14"/>
      <c r="H75" s="14"/>
      <c r="I75" s="14"/>
      <c r="J75" s="14"/>
      <c r="K75" s="14"/>
      <c r="L75" s="14"/>
    </row>
    <row r="76">
      <c r="A76" s="21">
        <f t="shared" si="2"/>
        <v>53</v>
      </c>
      <c r="B76" s="22">
        <f t="shared" si="1"/>
        <v>2809</v>
      </c>
      <c r="C76" s="13"/>
      <c r="D76" s="14"/>
      <c r="E76" s="14"/>
      <c r="F76" s="14"/>
      <c r="G76" s="14"/>
      <c r="H76" s="14"/>
      <c r="I76" s="14"/>
      <c r="J76" s="14"/>
      <c r="K76" s="14"/>
      <c r="L76" s="14"/>
    </row>
    <row r="77">
      <c r="A77" s="21">
        <f t="shared" si="2"/>
        <v>54</v>
      </c>
      <c r="B77" s="22">
        <f t="shared" si="1"/>
        <v>2916</v>
      </c>
      <c r="C77" s="13"/>
      <c r="D77" s="14"/>
      <c r="E77" s="14"/>
      <c r="F77" s="14"/>
      <c r="G77" s="14"/>
      <c r="H77" s="14"/>
      <c r="I77" s="14"/>
      <c r="J77" s="14"/>
      <c r="K77" s="14"/>
      <c r="L77" s="14"/>
    </row>
    <row r="78">
      <c r="A78" s="21">
        <f t="shared" si="2"/>
        <v>55</v>
      </c>
      <c r="B78" s="22">
        <f t="shared" si="1"/>
        <v>3025</v>
      </c>
      <c r="C78" s="13"/>
      <c r="D78" s="14"/>
      <c r="E78" s="14"/>
      <c r="F78" s="14"/>
      <c r="G78" s="14"/>
      <c r="H78" s="14"/>
      <c r="I78" s="14"/>
      <c r="J78" s="14"/>
      <c r="K78" s="14"/>
      <c r="L78" s="14"/>
    </row>
    <row r="79">
      <c r="A79" s="21">
        <f t="shared" si="2"/>
        <v>56</v>
      </c>
      <c r="B79" s="22">
        <f t="shared" si="1"/>
        <v>3136</v>
      </c>
      <c r="C79" s="13"/>
      <c r="D79" s="14"/>
      <c r="E79" s="14"/>
      <c r="F79" s="14"/>
      <c r="G79" s="14"/>
      <c r="H79" s="14"/>
      <c r="I79" s="14"/>
      <c r="J79" s="14"/>
      <c r="K79" s="14"/>
      <c r="L79" s="14"/>
    </row>
    <row r="80">
      <c r="A80" s="21">
        <f t="shared" si="2"/>
        <v>57</v>
      </c>
      <c r="B80" s="22">
        <f t="shared" si="1"/>
        <v>3249</v>
      </c>
      <c r="C80" s="13"/>
      <c r="D80" s="14"/>
      <c r="E80" s="14"/>
      <c r="F80" s="14"/>
      <c r="G80" s="14"/>
      <c r="H80" s="14"/>
      <c r="I80" s="14"/>
      <c r="J80" s="14"/>
      <c r="K80" s="14"/>
      <c r="L80" s="14"/>
    </row>
    <row r="81">
      <c r="A81" s="21">
        <f t="shared" si="2"/>
        <v>58</v>
      </c>
      <c r="B81" s="22">
        <f t="shared" si="1"/>
        <v>3364</v>
      </c>
      <c r="C81" s="13"/>
      <c r="D81" s="14"/>
      <c r="E81" s="14"/>
      <c r="F81" s="14"/>
      <c r="G81" s="14"/>
      <c r="H81" s="14"/>
      <c r="I81" s="14"/>
      <c r="J81" s="14"/>
      <c r="K81" s="14"/>
      <c r="L81" s="14"/>
    </row>
    <row r="82">
      <c r="A82" s="21">
        <f t="shared" si="2"/>
        <v>59</v>
      </c>
      <c r="B82" s="22">
        <f t="shared" si="1"/>
        <v>3481</v>
      </c>
      <c r="C82" s="13"/>
      <c r="D82" s="14"/>
      <c r="E82" s="14"/>
      <c r="F82" s="14"/>
      <c r="G82" s="14"/>
      <c r="H82" s="14"/>
      <c r="I82" s="14"/>
      <c r="J82" s="14"/>
      <c r="K82" s="14"/>
      <c r="L82" s="14"/>
    </row>
    <row r="83">
      <c r="A83" s="21">
        <f t="shared" si="2"/>
        <v>60</v>
      </c>
      <c r="B83" s="22">
        <f t="shared" si="1"/>
        <v>3600</v>
      </c>
      <c r="C83" s="13"/>
      <c r="D83" s="14"/>
      <c r="E83" s="14"/>
      <c r="F83" s="14"/>
      <c r="G83" s="14"/>
      <c r="H83" s="14"/>
      <c r="I83" s="14"/>
      <c r="J83" s="14"/>
      <c r="K83" s="14"/>
      <c r="L83" s="14"/>
    </row>
    <row r="84">
      <c r="A84" s="21">
        <f t="shared" si="2"/>
        <v>61</v>
      </c>
      <c r="B84" s="22">
        <f t="shared" si="1"/>
        <v>3721</v>
      </c>
      <c r="C84" s="13"/>
      <c r="D84" s="14"/>
      <c r="E84" s="14"/>
      <c r="F84" s="14"/>
      <c r="G84" s="14"/>
      <c r="H84" s="14"/>
      <c r="I84" s="14"/>
      <c r="J84" s="14"/>
      <c r="K84" s="14"/>
      <c r="L84" s="14"/>
    </row>
    <row r="85">
      <c r="A85" s="21">
        <f t="shared" si="2"/>
        <v>62</v>
      </c>
      <c r="B85" s="22">
        <f t="shared" si="1"/>
        <v>3844</v>
      </c>
      <c r="C85" s="13"/>
      <c r="D85" s="14"/>
      <c r="E85" s="14"/>
      <c r="F85" s="14"/>
      <c r="G85" s="14"/>
      <c r="H85" s="14"/>
      <c r="I85" s="14"/>
      <c r="J85" s="14"/>
      <c r="K85" s="14"/>
      <c r="L85" s="14"/>
    </row>
    <row r="86">
      <c r="A86" s="21">
        <f t="shared" si="2"/>
        <v>63</v>
      </c>
      <c r="B86" s="22">
        <f t="shared" si="1"/>
        <v>3969</v>
      </c>
      <c r="C86" s="13"/>
      <c r="D86" s="14"/>
      <c r="E86" s="14"/>
      <c r="F86" s="14"/>
      <c r="G86" s="14"/>
      <c r="H86" s="14"/>
      <c r="I86" s="14"/>
      <c r="J86" s="14"/>
      <c r="K86" s="14"/>
      <c r="L86" s="14"/>
    </row>
    <row r="87">
      <c r="A87" s="21">
        <f t="shared" si="2"/>
        <v>64</v>
      </c>
      <c r="B87" s="22">
        <f t="shared" si="1"/>
        <v>4096</v>
      </c>
      <c r="C87" s="13"/>
      <c r="D87" s="14"/>
      <c r="E87" s="14"/>
      <c r="F87" s="14"/>
      <c r="G87" s="14"/>
      <c r="H87" s="14"/>
      <c r="I87" s="14"/>
      <c r="J87" s="14"/>
      <c r="K87" s="14"/>
      <c r="L87" s="14"/>
    </row>
    <row r="88">
      <c r="A88" s="21">
        <f t="shared" si="2"/>
        <v>65</v>
      </c>
      <c r="B88" s="22">
        <f t="shared" si="1"/>
        <v>4225</v>
      </c>
      <c r="C88" s="13"/>
      <c r="D88" s="14"/>
      <c r="E88" s="14"/>
      <c r="F88" s="14"/>
      <c r="G88" s="14"/>
      <c r="H88" s="14"/>
      <c r="I88" s="14"/>
      <c r="J88" s="14"/>
      <c r="K88" s="14"/>
      <c r="L88" s="14"/>
    </row>
    <row r="89">
      <c r="A89" s="21">
        <f t="shared" si="2"/>
        <v>66</v>
      </c>
      <c r="B89" s="22">
        <f t="shared" si="1"/>
        <v>4356</v>
      </c>
      <c r="C89" s="13"/>
      <c r="D89" s="14"/>
      <c r="E89" s="14"/>
      <c r="F89" s="14"/>
      <c r="G89" s="14"/>
      <c r="H89" s="14"/>
      <c r="I89" s="14"/>
      <c r="J89" s="14"/>
      <c r="K89" s="14"/>
      <c r="L89" s="14"/>
    </row>
    <row r="90">
      <c r="A90" s="21">
        <f t="shared" si="2"/>
        <v>67</v>
      </c>
      <c r="B90" s="22">
        <f t="shared" si="1"/>
        <v>4489</v>
      </c>
      <c r="C90" s="13"/>
      <c r="D90" s="14"/>
      <c r="E90" s="14"/>
      <c r="F90" s="14"/>
      <c r="G90" s="14"/>
      <c r="H90" s="14"/>
      <c r="I90" s="14"/>
      <c r="J90" s="14"/>
      <c r="K90" s="14"/>
      <c r="L90" s="14"/>
    </row>
    <row r="91">
      <c r="A91" s="21">
        <f t="shared" si="2"/>
        <v>68</v>
      </c>
      <c r="B91" s="22">
        <f t="shared" si="1"/>
        <v>4624</v>
      </c>
      <c r="C91" s="13"/>
      <c r="D91" s="14"/>
      <c r="E91" s="14"/>
      <c r="F91" s="14"/>
      <c r="G91" s="14"/>
      <c r="H91" s="14"/>
      <c r="I91" s="14"/>
      <c r="J91" s="14"/>
      <c r="K91" s="14"/>
      <c r="L91" s="14"/>
    </row>
    <row r="92">
      <c r="A92" s="21">
        <f t="shared" si="2"/>
        <v>69</v>
      </c>
      <c r="B92" s="22">
        <f t="shared" si="1"/>
        <v>4761</v>
      </c>
      <c r="C92" s="13"/>
      <c r="D92" s="14"/>
      <c r="E92" s="14"/>
      <c r="F92" s="14"/>
      <c r="G92" s="14"/>
      <c r="H92" s="14"/>
      <c r="I92" s="14"/>
      <c r="J92" s="14"/>
      <c r="K92" s="14"/>
      <c r="L92" s="14"/>
    </row>
    <row r="93">
      <c r="A93" s="21">
        <f t="shared" si="2"/>
        <v>0</v>
      </c>
      <c r="B93" s="22">
        <f t="shared" si="1"/>
        <v>0</v>
      </c>
      <c r="C93" s="13"/>
      <c r="D93" s="14"/>
      <c r="E93" s="14"/>
      <c r="F93" s="14"/>
      <c r="G93" s="14"/>
      <c r="H93" s="14"/>
      <c r="I93" s="14"/>
      <c r="J93" s="14"/>
      <c r="K93" s="14"/>
      <c r="L93" s="14"/>
    </row>
    <row r="94">
      <c r="A94" s="21">
        <f t="shared" si="2"/>
        <v>0</v>
      </c>
      <c r="B94" s="22">
        <f t="shared" si="1"/>
        <v>0</v>
      </c>
      <c r="C94" s="13"/>
      <c r="D94" s="14"/>
      <c r="E94" s="14"/>
      <c r="F94" s="14"/>
      <c r="G94" s="14"/>
      <c r="H94" s="14"/>
      <c r="I94" s="14"/>
      <c r="J94" s="14"/>
      <c r="K94" s="14"/>
      <c r="L94" s="14"/>
    </row>
    <row r="95">
      <c r="A95" s="21">
        <f t="shared" si="2"/>
        <v>0</v>
      </c>
      <c r="B95" s="22">
        <f t="shared" si="1"/>
        <v>0</v>
      </c>
      <c r="C95" s="13"/>
      <c r="D95" s="14"/>
      <c r="E95" s="14"/>
      <c r="F95" s="14"/>
      <c r="G95" s="14"/>
      <c r="H95" s="14"/>
      <c r="I95" s="14"/>
      <c r="J95" s="14"/>
      <c r="K95" s="14"/>
      <c r="L95" s="14"/>
    </row>
    <row r="96">
      <c r="A96" s="19"/>
      <c r="B96" s="20"/>
      <c r="C96" s="13"/>
      <c r="D96" s="14"/>
      <c r="E96" s="14"/>
      <c r="F96" s="14"/>
      <c r="G96" s="14"/>
      <c r="H96" s="14"/>
      <c r="I96" s="14"/>
      <c r="J96" s="14"/>
      <c r="K96" s="14"/>
      <c r="L96" s="14"/>
    </row>
    <row r="97">
      <c r="A97" s="19"/>
      <c r="B97" s="20"/>
      <c r="C97" s="13"/>
      <c r="D97" s="14"/>
      <c r="E97" s="14"/>
      <c r="F97" s="14"/>
      <c r="G97" s="14"/>
      <c r="H97" s="14"/>
      <c r="I97" s="14"/>
      <c r="J97" s="14"/>
      <c r="K97" s="14"/>
      <c r="L97" s="14"/>
    </row>
    <row r="98">
      <c r="A98" s="19"/>
      <c r="B98" s="20"/>
      <c r="C98" s="13"/>
      <c r="D98" s="14"/>
      <c r="E98" s="14"/>
      <c r="F98" s="14"/>
      <c r="G98" s="14"/>
      <c r="H98" s="14"/>
      <c r="I98" s="14"/>
      <c r="J98" s="14"/>
      <c r="K98" s="14"/>
      <c r="L98" s="14"/>
    </row>
    <row r="99">
      <c r="A99" s="19"/>
      <c r="B99" s="20"/>
      <c r="C99" s="13"/>
      <c r="D99" s="14"/>
      <c r="E99" s="14"/>
      <c r="F99" s="14"/>
      <c r="G99" s="14"/>
      <c r="H99" s="14"/>
      <c r="I99" s="14"/>
      <c r="J99" s="14"/>
      <c r="K99" s="14"/>
      <c r="L99" s="14"/>
    </row>
    <row r="100">
      <c r="A100" s="19"/>
      <c r="B100" s="20"/>
      <c r="C100" s="13"/>
      <c r="D100" s="14"/>
      <c r="E100" s="14"/>
      <c r="F100" s="14"/>
      <c r="G100" s="14"/>
      <c r="H100" s="14"/>
      <c r="I100" s="14"/>
      <c r="J100" s="14"/>
      <c r="K100" s="14"/>
      <c r="L100" s="14"/>
    </row>
  </sheetData>
  <mergeCells count="2">
    <mergeCell ref="C1:C4"/>
    <mergeCell ref="F3:L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6">
        <v>1.0</v>
      </c>
    </row>
    <row r="2">
      <c r="A2" s="6">
        <v>2.0</v>
      </c>
    </row>
    <row r="3">
      <c r="A3" s="6">
        <v>3.0</v>
      </c>
    </row>
    <row r="4">
      <c r="A4" s="6">
        <v>4.0</v>
      </c>
    </row>
  </sheetData>
  <drawing r:id="rId1"/>
</worksheet>
</file>